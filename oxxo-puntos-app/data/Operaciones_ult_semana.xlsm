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CD26231C-94E5-4EF9-886B-6E393D84614F}" xr6:coauthVersionLast="47" xr6:coauthVersionMax="47" xr10:uidLastSave="{00000000-0000-0000-0000-000000000000}"/>
  <bookViews>
    <workbookView xWindow="-110" yWindow="-110" windowWidth="19420" windowHeight="11500" firstSheet="5" activeTab="5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JEFE REGIONAL" sheetId="18" r:id="rId5"/>
    <sheet name="Visitas_Operaciones" sheetId="2" r:id="rId6"/>
    <sheet name="Puntos potenciales Ope" sheetId="16" r:id="rId7"/>
    <sheet name="Metas_Generales" sheetId="9" state="hidden" r:id="rId8"/>
    <sheet name="Hoja1" sheetId="8" state="hidden" r:id="rId9"/>
    <sheet name="Hoja2" sheetId="13" state="hidden" r:id="rId10"/>
    <sheet name="Festivos Colombia 2025-2026" sheetId="5" state="hidden" r:id="rId11"/>
  </sheets>
  <definedNames>
    <definedName name="_xlnm._FilterDatabase" localSheetId="0" hidden="1">Hoja4!$A$22:$B$37</definedName>
    <definedName name="_xlnm._FilterDatabase" localSheetId="6" hidden="1">'Puntos potenciales Ope'!$A$1:$B$15</definedName>
    <definedName name="_xlnm._FilterDatabase" localSheetId="5" hidden="1">Visitas_Operaciones!$A$1:$AN$208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277" r:id="rId12"/>
    <pivotCache cacheId="278" r:id="rId13"/>
    <pivotCache cacheId="27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01" i="2" l="1"/>
  <c r="Y202" i="2"/>
  <c r="Y203" i="2"/>
  <c r="Y204" i="2"/>
  <c r="Y205" i="2"/>
  <c r="Y206" i="2"/>
  <c r="Y207" i="2"/>
  <c r="Y208" i="2"/>
  <c r="X201" i="2"/>
  <c r="X202" i="2"/>
  <c r="X203" i="2"/>
  <c r="X204" i="2"/>
  <c r="X205" i="2"/>
  <c r="X206" i="2"/>
  <c r="X207" i="2"/>
  <c r="X208" i="2"/>
  <c r="W201" i="2"/>
  <c r="W202" i="2"/>
  <c r="W203" i="2"/>
  <c r="W204" i="2"/>
  <c r="W205" i="2"/>
  <c r="W206" i="2"/>
  <c r="W207" i="2"/>
  <c r="W208" i="2"/>
  <c r="V201" i="2"/>
  <c r="V202" i="2"/>
  <c r="V203" i="2"/>
  <c r="V204" i="2"/>
  <c r="V205" i="2"/>
  <c r="V206" i="2"/>
  <c r="V207" i="2"/>
  <c r="V208" i="2"/>
  <c r="X199" i="2"/>
  <c r="X200" i="2"/>
  <c r="W199" i="2"/>
  <c r="W200" i="2"/>
  <c r="V199" i="2"/>
  <c r="V200" i="2"/>
  <c r="V193" i="2"/>
  <c r="W193" i="2"/>
  <c r="X193" i="2"/>
  <c r="V194" i="2"/>
  <c r="W194" i="2"/>
  <c r="X194" i="2"/>
  <c r="V195" i="2"/>
  <c r="W195" i="2"/>
  <c r="X195" i="2"/>
  <c r="V196" i="2"/>
  <c r="W196" i="2"/>
  <c r="X196" i="2"/>
  <c r="V197" i="2"/>
  <c r="W197" i="2"/>
  <c r="X197" i="2"/>
  <c r="V198" i="2"/>
  <c r="W198" i="2"/>
  <c r="X198" i="2"/>
  <c r="Y199" i="2" l="1"/>
  <c r="Y200" i="2"/>
  <c r="Y195" i="2"/>
  <c r="Y196" i="2"/>
  <c r="Y193" i="2"/>
  <c r="Y194" i="2"/>
  <c r="Y198" i="2"/>
  <c r="Y197" i="2"/>
  <c r="V192" i="2" l="1"/>
  <c r="W192" i="2"/>
  <c r="X192" i="2"/>
  <c r="Y192" i="2" l="1"/>
  <c r="V187" i="2" l="1"/>
  <c r="W187" i="2"/>
  <c r="X187" i="2"/>
  <c r="V188" i="2"/>
  <c r="W188" i="2"/>
  <c r="X188" i="2"/>
  <c r="V189" i="2"/>
  <c r="W189" i="2"/>
  <c r="X189" i="2"/>
  <c r="V190" i="2"/>
  <c r="W190" i="2"/>
  <c r="X190" i="2"/>
  <c r="V191" i="2"/>
  <c r="W191" i="2"/>
  <c r="X191" i="2"/>
  <c r="Y191" i="2" l="1"/>
  <c r="Y190" i="2"/>
  <c r="Y188" i="2"/>
  <c r="Y189" i="2"/>
  <c r="Y187" i="2"/>
  <c r="V175" i="2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A2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V4" i="8" a="1"/>
  <c r="V3" i="8" a="1"/>
  <c r="V2" i="8" a="1"/>
  <c r="V1" i="8" a="1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<sst xmlns="http://schemas.openxmlformats.org/spreadsheetml/2006/main" count="4193" uniqueCount="1438">
  <si>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</si>
  <si>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</si>
  <si>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</si>
  <si>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</si>
  <si>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</si>
  <si>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</si>
  <si>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</si>
  <si>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</si>
  <si>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</si>
  <si>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</si>
  <si>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</si>
  <si>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</si>
  <si>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</si>
  <si>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</si>
  <si>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</si>
  <si>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</si>
  <si>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</si>
  <si>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</si>
  <si>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</si>
  <si>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</si>
  <si>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</si>
  <si>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</si>
  <si>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</si>
  <si>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</si>
  <si>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</si>
  <si>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</si>
  <si>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</si>
  <si>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</si>
  <si>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</si>
  <si>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</si>
  <si>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</si>
  <si>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</si>
  <si>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</si>
  <si>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</si>
  <si>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</si>
  <si>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</si>
  <si>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</si>
  <si>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</si>
  <si>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</si>
  <si>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</si>
  <si>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</si>
  <si>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</si>
  <si>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</si>
  <si>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</si>
  <si>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</si>
  <si>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</si>
  <si>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</si>
  <si>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</si>
  <si>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</si>
  <si>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</si>
  <si>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</si>
  <si>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</si>
  <si>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</si>
  <si>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</si>
  <si>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</si>
  <si>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</si>
  <si>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</si>
  <si>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</si>
  <si>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</si>
  <si>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</si>
  <si>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</si>
  <si>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</si>
  <si>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</si>
  <si>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</si>
  <si>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</si>
  <si>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</si>
  <si>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</si>
  <si>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</si>
  <si>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</si>
  <si>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</si>
  <si>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</si>
  <si>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</si>
  <si>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</si>
  <si>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</si>
  <si>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</si>
  <si>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</si>
  <si>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</si>
  <si>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</si>
  <si>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</si>
  <si>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</si>
  <si>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</si>
  <si>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</si>
  <si>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</si>
  <si>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Antioquia</t>
  </si>
  <si>
    <t>Yesenia Aritizabal</t>
  </si>
  <si>
    <t>Bogotá</t>
  </si>
  <si>
    <t>Pedro</t>
  </si>
  <si>
    <t>Norte</t>
  </si>
  <si>
    <t>Juan Pablo</t>
  </si>
  <si>
    <t>Sur</t>
  </si>
  <si>
    <t>Caribe</t>
  </si>
  <si>
    <t>Diego Rodriguez</t>
  </si>
  <si>
    <t>Centro Norte</t>
  </si>
  <si>
    <t>Centro Sur</t>
  </si>
  <si>
    <t xml:space="preserve">Eje Cafetero </t>
  </si>
  <si>
    <t xml:space="preserve">Oriente </t>
  </si>
  <si>
    <t>Valle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</si>
  <si>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</si>
  <si>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</si>
  <si>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</si>
  <si>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</si>
  <si>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</si>
  <si>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</si>
  <si>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</si>
  <si>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</si>
  <si>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</si>
  <si>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</si>
  <si>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</si>
  <si>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</si>
  <si>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</si>
  <si>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</si>
  <si>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</si>
  <si>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</si>
  <si>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</si>
  <si>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</si>
  <si>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</si>
  <si>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</si>
  <si>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</si>
  <si>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</si>
  <si>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</si>
  <si>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</si>
  <si>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</si>
  <si>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</si>
  <si>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</si>
  <si>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</si>
  <si>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</si>
  <si>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</si>
  <si>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</si>
  <si>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</si>
  <si>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</si>
  <si>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</si>
  <si>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</si>
  <si>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</si>
  <si>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</si>
  <si>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</si>
  <si>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</si>
  <si>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</si>
  <si>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</si>
  <si>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</si>
  <si>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</si>
  <si>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</si>
  <si>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</si>
  <si>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</si>
  <si>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</si>
  <si>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</si>
  <si>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</si>
  <si>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</si>
  <si>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</si>
  <si>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</si>
  <si>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</si>
  <si>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</si>
  <si>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</si>
  <si>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</si>
  <si>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</si>
  <si>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</si>
  <si>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</si>
  <si>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</si>
  <si>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</si>
  <si>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</si>
  <si>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</si>
  <si>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</si>
  <si>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</si>
  <si>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</si>
  <si>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</si>
  <si>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</si>
  <si>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</si>
  <si>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</si>
  <si>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</si>
  <si>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</si>
  <si>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</si>
  <si>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</si>
  <si>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</si>
  <si>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</si>
  <si>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</si>
  <si>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</si>
  <si>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</si>
  <si>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</si>
  <si>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</si>
  <si>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</si>
  <si>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</si>
  <si>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</si>
  <si>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</si>
  <si>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</si>
  <si>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</si>
  <si>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</si>
  <si>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</si>
  <si>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</si>
  <si>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</si>
  <si>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</si>
  <si>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</si>
  <si>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</si>
  <si>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</si>
  <si>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</si>
  <si>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</si>
  <si>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</si>
  <si>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</si>
  <si>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</si>
  <si>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</si>
  <si>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</si>
  <si>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</si>
  <si>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</si>
  <si>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</si>
  <si>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</si>
  <si>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</si>
  <si>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</si>
  <si>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</si>
  <si>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</si>
  <si>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</si>
  <si>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</si>
  <si>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</si>
  <si>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</si>
  <si>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</si>
  <si>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</si>
  <si>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</si>
  <si>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</si>
  <si>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</si>
  <si>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</si>
  <si>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</si>
  <si>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</si>
  <si>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</si>
  <si>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</si>
  <si>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</si>
  <si>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</si>
  <si>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</si>
  <si>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</si>
  <si>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</si>
  <si>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</si>
  <si>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</si>
  <si>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</si>
  <si>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</si>
  <si>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</si>
  <si>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</si>
  <si>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</si>
  <si>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</si>
  <si>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</si>
  <si>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</si>
  <si>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</si>
  <si>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</si>
  <si>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</si>
  <si>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</si>
  <si>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</si>
  <si>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</si>
  <si>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</si>
  <si>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</si>
  <si>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</si>
  <si>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</si>
  <si>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</si>
  <si>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</si>
  <si>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</si>
  <si>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</si>
  <si>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</si>
  <si>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</si>
  <si>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</si>
  <si>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</si>
  <si>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</si>
  <si>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</si>
  <si>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</si>
  <si>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</si>
  <si>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</si>
  <si>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</si>
  <si>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</si>
  <si>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</si>
  <si>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</si>
  <si>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</si>
  <si>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</si>
  <si>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</si>
  <si>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</si>
  <si>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</si>
  <si>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</si>
  <si>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</si>
  <si>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</si>
  <si>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</si>
  <si>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</si>
  <si>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</si>
  <si>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</si>
  <si>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</si>
  <si>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</si>
  <si>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</si>
  <si>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</si>
  <si>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</si>
  <si>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</si>
  <si>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</si>
  <si>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</si>
  <si>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</si>
  <si>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</si>
  <si>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</si>
  <si>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</si>
  <si>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</si>
  <si>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</si>
  <si>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</si>
  <si>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</si>
  <si>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</si>
  <si>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</si>
  <si>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</si>
  <si>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</si>
  <si>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</si>
  <si>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</si>
  <si>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</si>
  <si>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</si>
  <si>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</si>
  <si>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</si>
  <si>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</si>
  <si>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</si>
  <si>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</si>
  <si>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</si>
  <si>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</si>
  <si>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</si>
  <si>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</si>
  <si>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</si>
  <si>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</si>
  <si>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</si>
  <si>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</si>
  <si>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</si>
  <si>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</si>
  <si>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</si>
  <si>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</si>
  <si>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</si>
  <si>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</si>
  <si>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</si>
  <si>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</si>
  <si>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</si>
  <si>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</si>
  <si>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</si>
  <si>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</si>
  <si>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</si>
  <si>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</si>
  <si>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</si>
  <si>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</si>
  <si>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</si>
  <si>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</si>
  <si>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</si>
  <si>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</si>
  <si>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</si>
  <si>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</si>
  <si>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</si>
  <si>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</si>
  <si>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</si>
  <si>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</si>
  <si>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</si>
  <si>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</si>
  <si>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</si>
  <si>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</si>
  <si>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</si>
  <si>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</si>
  <si>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</si>
  <si>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</si>
  <si>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</si>
  <si>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</si>
  <si>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</si>
  <si>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</si>
  <si>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</si>
  <si>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</si>
  <si>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</si>
  <si>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</si>
  <si>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</si>
  <si>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</si>
  <si>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</si>
  <si>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</si>
  <si>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</si>
  <si>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</si>
  <si>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</si>
  <si>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</si>
  <si>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</si>
  <si>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</si>
  <si>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</si>
  <si>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</si>
  <si>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</si>
  <si>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</si>
  <si>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</si>
  <si>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</si>
  <si>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</si>
  <si>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</si>
  <si>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</si>
  <si>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</si>
  <si>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</si>
  <si>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</si>
  <si>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</si>
  <si>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</si>
  <si>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</si>
  <si>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</si>
  <si>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</si>
  <si>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</si>
  <si>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</si>
  <si>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</si>
  <si>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</si>
  <si>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</si>
  <si>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Andes Avenida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</si>
  <si>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</si>
  <si>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</si>
  <si>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</si>
  <si>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</si>
  <si>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</si>
  <si>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</si>
  <si>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</si>
  <si>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</si>
  <si>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</si>
  <si>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</si>
  <si>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</si>
  <si>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</si>
  <si>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</si>
  <si>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</si>
  <si>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</si>
  <si>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</si>
  <si>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</si>
  <si>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</si>
  <si>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</si>
  <si>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</si>
  <si>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</si>
  <si>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</si>
  <si>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</si>
  <si>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</si>
  <si>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</si>
  <si>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</si>
  <si>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</si>
  <si>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</si>
  <si>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</si>
  <si>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</si>
  <si>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</si>
  <si>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</si>
  <si>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</si>
  <si>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</si>
  <si>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</si>
  <si>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</si>
  <si>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</si>
  <si>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</si>
  <si>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</si>
  <si>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</si>
  <si>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</si>
  <si>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</si>
  <si>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</si>
  <si>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</si>
  <si>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</si>
  <si>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</si>
  <si>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</si>
  <si>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</si>
  <si>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</si>
  <si>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</si>
  <si>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</si>
  <si>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</si>
  <si>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</si>
  <si>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</si>
  <si>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</si>
  <si>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</si>
  <si>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</si>
  <si>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</si>
  <si>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</si>
  <si>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</si>
  <si>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</si>
  <si>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</si>
  <si>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</si>
  <si>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</si>
  <si>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</si>
  <si>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</si>
  <si>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</si>
  <si>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</si>
  <si>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</si>
  <si>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</si>
  <si>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</si>
  <si>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</si>
  <si>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</si>
  <si>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</si>
  <si>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</si>
  <si>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</si>
  <si>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</si>
  <si>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</si>
  <si>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</si>
  <si>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</si>
  <si>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</si>
  <si>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</si>
  <si>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</si>
  <si>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</si>
  <si>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</si>
  <si>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</si>
  <si>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</si>
  <si>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</si>
  <si>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</si>
  <si>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</si>
  <si>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</si>
  <si>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</si>
  <si>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</si>
  <si>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</si>
  <si>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</si>
  <si>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</si>
  <si>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</si>
  <si>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</si>
  <si>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</si>
  <si>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</si>
  <si>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</si>
  <si>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</si>
  <si>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</si>
  <si>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</si>
  <si>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</si>
  <si>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</si>
  <si>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</si>
  <si>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</si>
  <si>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</si>
  <si>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</si>
  <si>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</si>
  <si>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</si>
  <si>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</si>
  <si>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</si>
  <si>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</si>
  <si>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</si>
  <si>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</si>
  <si>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</si>
  <si>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</si>
  <si>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</si>
  <si>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</si>
  <si>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</si>
  <si>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</si>
  <si>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</si>
  <si>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</si>
  <si>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</si>
  <si>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</si>
  <si>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</si>
  <si>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</si>
  <si>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</si>
  <si>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</si>
  <si>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</si>
  <si>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</si>
  <si>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</si>
  <si>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</si>
  <si>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</si>
  <si>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</si>
  <si>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</si>
  <si>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</si>
  <si>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</si>
  <si>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</si>
  <si>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</si>
  <si>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</si>
  <si>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</si>
  <si>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</si>
  <si>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</si>
  <si>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</si>
  <si>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</si>
  <si>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</si>
  <si>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</si>
  <si>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</si>
  <si>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</si>
  <si>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</si>
  <si>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</si>
  <si>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</si>
  <si>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</si>
  <si>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</si>
  <si>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</si>
  <si>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</si>
  <si>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</si>
  <si>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</si>
  <si>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</si>
  <si>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</si>
  <si>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</si>
  <si>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</si>
  <si>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</si>
  <si>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</si>
  <si>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</si>
  <si>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</si>
  <si>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</si>
  <si>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</si>
  <si>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</si>
  <si>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</si>
  <si>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</si>
  <si>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</si>
  <si>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</si>
  <si>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</si>
  <si>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</si>
  <si>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</si>
  <si>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</si>
  <si>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</si>
  <si>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</si>
  <si>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</si>
  <si>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</si>
  <si>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</si>
  <si>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</si>
  <si>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</si>
  <si>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</si>
  <si>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</si>
  <si>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</si>
  <si>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</si>
  <si>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</si>
  <si>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</si>
  <si>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</si>
  <si>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</si>
  <si>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</si>
  <si>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</si>
  <si>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</si>
  <si>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</si>
  <si>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</si>
  <si>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</si>
  <si>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</si>
  <si>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</si>
  <si>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</si>
  <si>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</si>
  <si>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</si>
  <si>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</si>
  <si>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</si>
  <si>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</si>
  <si>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</si>
  <si>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</si>
  <si>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</si>
  <si>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</si>
  <si>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</si>
  <si>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</si>
  <si>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</si>
  <si>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</si>
  <si>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</si>
  <si>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</si>
  <si>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</si>
  <si>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</si>
  <si>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</si>
  <si>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</si>
  <si>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</si>
  <si>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</si>
  <si>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</si>
  <si>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</si>
  <si>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</si>
  <si>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</si>
  <si>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</si>
  <si>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</si>
  <si>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</si>
  <si>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</si>
  <si>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</si>
  <si>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</si>
  <si>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</si>
  <si>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</si>
  <si>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</si>
  <si>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</si>
  <si>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</si>
  <si>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</si>
  <si>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</si>
  <si>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</si>
  <si>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</si>
  <si>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</si>
  <si>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</si>
  <si>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</si>
  <si>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</si>
  <si>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</si>
  <si>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</si>
  <si>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</si>
  <si>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</si>
  <si>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</si>
  <si>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</si>
  <si>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</si>
  <si>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</si>
  <si>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</si>
  <si>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</si>
  <si>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</si>
  <si>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</si>
  <si>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</si>
  <si>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</si>
  <si>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</si>
  <si>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</si>
  <si>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</si>
  <si>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</si>
  <si>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</si>
  <si>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</si>
  <si>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</si>
  <si>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</si>
  <si>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</si>
  <si>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</si>
  <si>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</si>
  <si>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</si>
  <si>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</si>
  <si>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</si>
  <si>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</si>
  <si>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</si>
  <si>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</si>
  <si>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</si>
  <si>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</si>
  <si>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</si>
  <si>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</si>
  <si>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</si>
  <si>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</si>
  <si>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 fernando 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</si>
  <si>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</si>
  <si>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</si>
  <si>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</si>
  <si>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</si>
  <si>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</si>
  <si>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</si>
  <si>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</si>
  <si>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</si>
  <si>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</si>
  <si>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</si>
  <si>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</si>
  <si>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</si>
  <si>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</si>
  <si>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</si>
  <si>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</si>
  <si>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</si>
  <si>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</si>
  <si>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</si>
  <si>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</si>
  <si>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</si>
  <si>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</si>
  <si>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</si>
  <si>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</si>
  <si>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</si>
  <si>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</si>
  <si>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</si>
  <si>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</si>
  <si>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</si>
  <si>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</si>
  <si>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</si>
  <si>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</si>
  <si>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</si>
  <si>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</si>
  <si>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</si>
  <si>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</si>
  <si>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</si>
  <si>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</si>
  <si>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</si>
  <si>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</si>
  <si>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</si>
  <si>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</si>
  <si>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</si>
  <si>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</si>
  <si>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</si>
  <si>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</si>
  <si>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</si>
  <si>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</si>
  <si>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</si>
  <si>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</si>
  <si>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</si>
  <si>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</si>
  <si>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</si>
  <si>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</si>
  <si>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</si>
  <si>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</si>
  <si>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</si>
  <si>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</si>
  <si>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</si>
  <si>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</si>
  <si>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</si>
  <si>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</si>
  <si>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</si>
  <si>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</si>
  <si>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</si>
  <si>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</si>
  <si>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</si>
  <si>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</si>
  <si>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</si>
  <si>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</si>
  <si>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</si>
  <si>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</si>
  <si>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</si>
  <si>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</si>
  <si>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</si>
  <si>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</si>
  <si>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</si>
  <si>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</si>
  <si>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</si>
  <si>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</si>
  <si>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</si>
  <si>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</si>
  <si>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</si>
  <si>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</si>
  <si>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c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</si>
  <si>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</si>
  <si>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</si>
  <si>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</si>
  <si>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</si>
  <si>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</si>
  <si>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</si>
  <si>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</si>
  <si>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</si>
  <si>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</si>
  <si>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</si>
  <si>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</si>
  <si>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</si>
  <si>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</si>
  <si>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</si>
  <si>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</si>
  <si>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</si>
  <si>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</si>
  <si>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</si>
  <si>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</si>
  <si>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</si>
  <si>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</si>
  <si>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</si>
  <si>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</si>
  <si>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</si>
  <si>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</si>
  <si>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</si>
  <si>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</si>
  <si>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</si>
  <si>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</si>
  <si>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</si>
  <si>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</si>
  <si>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</si>
  <si>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</si>
  <si>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</si>
  <si>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</si>
  <si>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</si>
  <si>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</si>
  <si>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</si>
  <si>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</si>
  <si>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</si>
  <si>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</si>
  <si>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</si>
  <si>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</si>
  <si>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</si>
  <si>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</si>
  <si>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</si>
  <si>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</si>
  <si>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</si>
  <si>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</si>
  <si>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</si>
  <si>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</si>
  <si>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</si>
  <si>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</si>
  <si>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</si>
  <si>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</si>
  <si>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</si>
  <si>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</si>
  <si>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</si>
  <si>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</si>
  <si>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</si>
  <si>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</si>
  <si>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</si>
  <si>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</si>
  <si>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</si>
  <si>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</si>
  <si>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</si>
  <si>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</si>
  <si>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</si>
  <si>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</si>
  <si>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</si>
  <si>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</si>
  <si>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</si>
  <si>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</si>
  <si>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</si>
  <si>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</si>
  <si>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</si>
  <si>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</si>
  <si>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</si>
  <si>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</si>
  <si>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</si>
  <si>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</si>
  <si>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</si>
  <si>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</si>
  <si>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</si>
  <si>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</si>
  <si>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</si>
  <si>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</si>
  <si>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</si>
  <si>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</si>
  <si>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</si>
  <si>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</si>
  <si>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</si>
  <si>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</si>
  <si>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</si>
  <si>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</si>
  <si>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</si>
  <si>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</si>
  <si>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</si>
  <si>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</si>
  <si>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</si>
  <si>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</si>
  <si>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</si>
  <si>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</si>
  <si>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</si>
  <si>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</si>
  <si>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</si>
  <si>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</si>
  <si>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</si>
  <si>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</si>
  <si>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</si>
  <si>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</si>
  <si>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</si>
  <si>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</si>
  <si>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</si>
  <si>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</si>
  <si>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</si>
  <si>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</si>
  <si>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</si>
  <si>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</si>
  <si>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</si>
  <si>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</si>
  <si>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</si>
  <si>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</si>
  <si>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</si>
  <si>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</si>
  <si>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</si>
  <si>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</si>
  <si>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</si>
  <si>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</si>
  <si>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</si>
  <si>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</si>
  <si>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</si>
  <si>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</si>
  <si>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</si>
  <si>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</si>
  <si>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</si>
  <si>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</si>
  <si>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</si>
  <si>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</si>
  <si>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</si>
  <si>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</si>
  <si>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</si>
  <si>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</si>
  <si>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</si>
  <si>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</si>
  <si>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</si>
  <si>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</si>
  <si>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</si>
  <si>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</si>
  <si>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</si>
  <si>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</si>
  <si>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</si>
  <si>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</si>
  <si>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</si>
  <si>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</si>
  <si>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</si>
  <si>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</si>
  <si>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</si>
  <si>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</si>
  <si>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</si>
  <si>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</si>
  <si>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</si>
  <si>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</si>
  <si>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</si>
  <si>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</si>
  <si>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</si>
  <si>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</si>
  <si>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</si>
  <si>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</si>
  <si>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</si>
  <si>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</si>
  <si>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</si>
  <si>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</si>
  <si>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</si>
  <si>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</si>
  <si>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</si>
  <si>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</si>
  <si>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</si>
  <si>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</si>
  <si>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</si>
  <si>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</si>
  <si>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</si>
  <si>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</si>
  <si>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</si>
  <si>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</si>
  <si>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</si>
  <si>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</si>
  <si>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</si>
  <si>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</si>
  <si>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</si>
  <si>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</si>
  <si>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</si>
  <si>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</si>
  <si>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</si>
  <si>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</si>
  <si>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</si>
  <si>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</si>
  <si>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</si>
  <si>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</si>
  <si>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</si>
  <si>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</si>
  <si>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</si>
  <si>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</si>
  <si>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</si>
  <si>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</si>
  <si>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</si>
  <si>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</si>
  <si>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</si>
  <si>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</si>
  <si>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</si>
  <si>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</si>
  <si>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</si>
  <si>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</si>
  <si>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</si>
  <si>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</si>
  <si>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</si>
  <si>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</si>
  <si>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</si>
  <si>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</si>
  <si>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</si>
  <si>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</si>
  <si>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</si>
  <si>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</si>
  <si>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</si>
  <si>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</si>
  <si>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</si>
  <si>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</si>
  <si>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</si>
  <si>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</si>
  <si>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</si>
  <si>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</si>
  <si>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</si>
  <si>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</si>
  <si>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</si>
  <si>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</si>
  <si>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</si>
  <si>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</si>
  <si>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</si>
  <si>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</si>
  <si>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</si>
  <si>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</si>
  <si>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</si>
  <si>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</si>
  <si>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</si>
  <si>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</si>
  <si>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</si>
  <si>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</si>
  <si>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</si>
  <si>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</si>
  <si>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</si>
  <si>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</si>
  <si>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</si>
  <si>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</si>
  <si>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</si>
  <si>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</si>
  <si>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</si>
  <si>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</si>
  <si>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</si>
  <si>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</si>
  <si>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</si>
  <si>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</si>
  <si>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</si>
  <si>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</si>
  <si>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</si>
  <si>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</si>
  <si>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</si>
  <si>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</si>
  <si>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</si>
  <si>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</si>
  <si>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</si>
  <si>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</si>
  <si>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</si>
  <si>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</si>
  <si>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</si>
  <si>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</si>
  <si>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Stefany Prieto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</si>
  <si>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</si>
  <si>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</si>
  <si>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</si>
  <si>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</si>
  <si>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</si>
  <si>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</si>
  <si>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</si>
  <si>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</si>
  <si>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</si>
  <si>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</si>
  <si>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</si>
  <si>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</si>
  <si>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</si>
  <si>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</si>
  <si>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</si>
  <si>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</si>
  <si>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</si>
  <si>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</si>
  <si>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</si>
  <si>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</si>
  <si>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</si>
  <si>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</si>
  <si>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</si>
  <si>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</si>
  <si>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</si>
  <si>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</si>
  <si>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</si>
  <si>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</si>
  <si>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</si>
  <si>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</si>
  <si>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</si>
  <si>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</si>
  <si>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</si>
  <si>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</si>
  <si>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</si>
  <si>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</si>
  <si>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</si>
  <si>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</si>
  <si>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</si>
  <si>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</si>
  <si>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</si>
  <si>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</si>
  <si>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</si>
  <si>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</si>
  <si>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</si>
  <si>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</si>
  <si>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</si>
  <si>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</si>
  <si>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</si>
  <si>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</si>
  <si>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</si>
  <si>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</si>
  <si>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</si>
  <si>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</si>
  <si>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</si>
  <si>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</si>
  <si>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</si>
  <si>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</si>
  <si>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</si>
  <si>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</si>
  <si>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</si>
  <si>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</si>
  <si>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</si>
  <si>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</si>
  <si>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</si>
  <si>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</si>
  <si>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</si>
  <si>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</si>
  <si>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</si>
  <si>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</si>
  <si>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</si>
  <si>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</si>
  <si>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</si>
  <si>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</si>
  <si>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</si>
  <si>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</si>
  <si>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</si>
  <si>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</si>
  <si>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</si>
  <si>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</si>
  <si>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</si>
  <si>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</si>
  <si>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</si>
  <si>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</si>
  <si>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</si>
  <si>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</si>
  <si>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</si>
  <si>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</si>
  <si>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</si>
  <si>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</si>
  <si>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</si>
  <si>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</si>
  <si>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</si>
  <si>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</si>
  <si>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</si>
  <si>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</si>
  <si>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</si>
  <si>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</si>
  <si>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</si>
  <si>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</si>
  <si>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</si>
  <si>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</si>
  <si>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</si>
  <si>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</si>
  <si>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</si>
  <si>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</si>
  <si>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</si>
  <si>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</si>
  <si>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</si>
  <si>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</si>
  <si>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</si>
  <si>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</si>
  <si>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</si>
  <si>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</si>
  <si>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</si>
  <si>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</si>
  <si>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</si>
  <si>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</si>
  <si>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</si>
  <si>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</si>
  <si>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</si>
  <si>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</si>
  <si>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</si>
  <si>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</si>
  <si>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</si>
  <si>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</si>
  <si>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</si>
  <si>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</si>
  <si>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</si>
  <si>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</si>
  <si>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</si>
  <si>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</si>
  <si>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</si>
  <si>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</si>
  <si>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</si>
  <si>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</si>
  <si>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Stefany prieto</t>
  </si>
  <si>
    <t>Oxxo kennedy central 2</t>
  </si>
  <si>
    <t>Pinzon 78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</si>
  <si>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</si>
  <si>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</si>
  <si>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</si>
  <si>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</si>
  <si>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</si>
  <si>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</si>
  <si>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</si>
  <si>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</si>
  <si>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</si>
  <si>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</si>
  <si>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</si>
  <si>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</si>
  <si>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</si>
  <si>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</si>
  <si>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</si>
  <si>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</si>
  <si>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</si>
  <si>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</si>
  <si>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</si>
  <si>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</si>
  <si>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</si>
  <si>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</si>
  <si>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</si>
  <si>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</si>
  <si>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</si>
  <si>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</si>
  <si>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</si>
  <si>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</si>
  <si>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</si>
  <si>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</si>
  <si>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</si>
  <si>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</si>
  <si>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</si>
  <si>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</si>
  <si>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</si>
  <si>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</si>
  <si>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</si>
  <si>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</si>
  <si>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</si>
  <si>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</si>
  <si>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</si>
  <si>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</si>
  <si>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</si>
  <si>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</si>
  <si>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</si>
  <si>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</si>
  <si>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</si>
  <si>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</si>
  <si>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</si>
  <si>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</si>
  <si>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</si>
  <si>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</si>
  <si>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</si>
  <si>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</si>
  <si>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</si>
  <si>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</si>
  <si>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</si>
  <si>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</si>
  <si>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</si>
  <si>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</si>
  <si>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</si>
  <si>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</si>
  <si>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</si>
  <si>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</si>
  <si>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</si>
  <si>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</si>
  <si>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Oxxo Girardot 16</t>
  </si>
  <si>
    <t>Calle 16 # 10 -61</t>
  </si>
  <si>
    <t>https://maps.app.goo.gl/xn4DrLvbwcZVAVs3A</t>
  </si>
  <si>
    <t>Carlos Mario Pineda</t>
  </si>
  <si>
    <t>Foto: https://oxxo-colombia.oneapp.cl/static/img/Respuesta/64381073/66a883ec6b4fbfb5ca3bbf273f545bb4.jpg</t>
  </si>
  <si>
    <t>Oxxo santa Isabel</t>
  </si>
  <si>
    <t>Av calle 3. # 25 a 11</t>
  </si>
  <si>
    <t>https://maps.app.goo.gl/cKNJGd4MhXjkezUV8</t>
  </si>
  <si>
    <t>Luis.fhc0409@gmail.com</t>
  </si>
  <si>
    <t>Foto: https://oxxo-colombia.oneapp.cl/static/img/Respuesta/64426165/ae219e1471b382df09e85882f371af36.jpg</t>
  </si>
  <si>
    <t>Oxxo vergel</t>
  </si>
  <si>
    <t>Calle 3 sur 24 b 41</t>
  </si>
  <si>
    <t>https://maps.app.goo.gl/YMW4BFnbw3tP25Uz6</t>
  </si>
  <si>
    <t>Luis.fhco409@gmail.com</t>
  </si>
  <si>
    <t>Foto: https://oxxo-colombia.oneapp.cl/static/img/Respuesta/64427307/b3db3b01e184e09291746d0c78912f2b.jpg</t>
  </si>
  <si>
    <t>Calle 27 sur , carrera 26 # 27 09</t>
  </si>
  <si>
    <t>https://maps.app.goo.gl/ouU7HMAnQm2FRDUh6?g_st=ac</t>
  </si>
  <si>
    <t>R</t>
  </si>
  <si>
    <t>Foto: https://oxxo-colombia.oneapp.cl/static/img/Respuesta/64431031/58b0270f34c9a2358fafe4ff31d540e4.jpg</t>
  </si>
  <si>
    <t>Trébol cra 30</t>
  </si>
  <si>
    <t>Av carrera 30 #73-46</t>
  </si>
  <si>
    <t>https://maps.app.goo.gl/gyXitncdMkQc5a4V8?g_st=ac</t>
  </si>
  <si>
    <t>Foto: https://oxxo-colombia.oneapp.cl/static/img/Respuesta/64431621/dec7d7f6ccfd9ab10a955f1b7bb7c51f.jpg</t>
  </si>
  <si>
    <t>Altablanca</t>
  </si>
  <si>
    <t>Calle 159 #7h-34</t>
  </si>
  <si>
    <t>https://maps.app.goo.gl/tH7bykwF6AAyaUaa8</t>
  </si>
  <si>
    <t>Comprasramirezh@gmail.com</t>
  </si>
  <si>
    <t>Foto: https://oxxo-colombia.oneapp.cl/static/img/Respuesta/64436527/3f6c9365e36665f83d023caa97bcd35b.jpg</t>
  </si>
  <si>
    <t>Las Delicias</t>
  </si>
  <si>
    <t>Transversal 68i #44-05</t>
  </si>
  <si>
    <t>https://maps.app.goo.gl/h2xQGxM4DHteF6hx7</t>
  </si>
  <si>
    <t>Maritsasanchez.1961@gmail.com</t>
  </si>
  <si>
    <t>Foto: https://oxxo-colombia.oneapp.cl/static/img/Respuesta/64439726/37f7f9e9b11ec42af69ef3d8e7a2bc6e.jpg</t>
  </si>
  <si>
    <t>Oxxo Cra 50</t>
  </si>
  <si>
    <t>Av Carrera 50 # 59- 18</t>
  </si>
  <si>
    <t>https://maps.app.goo.gl/NS1DvRiF7cweGxat7</t>
  </si>
  <si>
    <t>https://oxxo-colombia.oneapp.cl/static/img/Respuesta/64492024/6b66cb73921171592609b213ecd434b5.jpg</t>
  </si>
  <si>
    <t>Oxxo Restrepo 15</t>
  </si>
  <si>
    <t>Calle 15 # 22 - 57</t>
  </si>
  <si>
    <t>https://maps.app.goo.gl/8rL3JwMyL57oMLfm8</t>
  </si>
  <si>
    <t>https://oxxo-colombia.oneapp.cl/static/img/Respuesta/64496916/7534145f1397ff7f4f255d868b5f9f10.jpg</t>
  </si>
  <si>
    <t>San Fernando 68</t>
  </si>
  <si>
    <t>Cl 68 no 54 43</t>
  </si>
  <si>
    <t>https://maps.app.goo.gl/shRbaHAgchEdEM4C8</t>
  </si>
  <si>
    <t>No hau</t>
  </si>
  <si>
    <t>Foto: https://oxxo-colombia.oneapp.cl/static/img/Respuesta/64506382/6eeb34d565e237c83e9a9afe70c77e5f.jpg</t>
  </si>
  <si>
    <t>M3</t>
  </si>
  <si>
    <t>Av cr 30 63 d 17</t>
  </si>
  <si>
    <t>https://maps.app.goo.gl/2ZxP3fEVHqy4f7vA9</t>
  </si>
  <si>
    <t>No hay</t>
  </si>
  <si>
    <t>Foto: https://oxxo-colombia.oneapp.cl/static/img/Respuesta/64506483/b7ddc8e1e7bb420460061eef47a2c24e.jpg</t>
  </si>
  <si>
    <t>Madrid regiotram</t>
  </si>
  <si>
    <t>Carrera 6#8-95</t>
  </si>
  <si>
    <t>https://maps.app.goo.gl/2fMhKXAswbtgWt95A</t>
  </si>
  <si>
    <t>Foto: https://oxxo-colombia.oneapp.cl/static/img/Respuesta/64507184/0f7ad82a95e05dfb5ee4c95699811902.jpg</t>
  </si>
  <si>
    <t>Madrid san Pedro</t>
  </si>
  <si>
    <t>Calle 21#1a-23</t>
  </si>
  <si>
    <t>https://maps.app.goo.gl/mfBZXKXjBVFyyG7s6?g_st=iw</t>
  </si>
  <si>
    <t>Foto: https://oxxo-colombia.oneapp.cl/static/img/Respuesta/64507319/c241eab19a25805909d7d72c7a1c1b79.jpg</t>
  </si>
  <si>
    <t>Facatativa nova plaza</t>
  </si>
  <si>
    <t>Carrera 10#8a-12 local 1 nova plaza centro comercial</t>
  </si>
  <si>
    <t>https://maps.app.goo.gl/V6ShpyxgiSEuTN7Y6?g_st=iw</t>
  </si>
  <si>
    <t>Foto: https://oxxo-colombia.oneapp.cl/static/img/Respuesta/64507402/384bd40b6b39976d56a86b41e2de4b4e.jpg</t>
  </si>
  <si>
    <t>Restrepo zona rosa</t>
  </si>
  <si>
    <t>Carrera 17 #16-87 sur</t>
  </si>
  <si>
    <t>https://maps.app.goo.gl/8FuTV4SS1zzXVKt68?g_st=ac</t>
  </si>
  <si>
    <t>Foto: https://oxxo-colombia.oneapp.cl/static/img/Respuesta/64556364/a2ff3053a8cca3847c1b0d733a22fc32.jpg</t>
  </si>
  <si>
    <t>MARTIN CELI</t>
  </si>
  <si>
    <t>martin.cely@oxxo.com</t>
  </si>
  <si>
    <t>Villa Carolina</t>
  </si>
  <si>
    <t>Calle 87 # 65-08</t>
  </si>
  <si>
    <t>https://maps.app.goo.gl/bY7bMTPL2YEayuiV7?g_st=ac</t>
  </si>
  <si>
    <t>No suministro</t>
  </si>
  <si>
    <t>Foto: https://oxxo-colombia.oneapp.cl/static/img/Respuesta/64559690/8f84acec25a63cda45708083afa546b2.jpg</t>
  </si>
  <si>
    <t>Oxxo graffity americas</t>
  </si>
  <si>
    <t>Avenida calle 9 carrera 56</t>
  </si>
  <si>
    <t>https://maps.app.goo.gl/YeadoXSubg4yFrpz8</t>
  </si>
  <si>
    <t>Dadministrativa@igeos.co</t>
  </si>
  <si>
    <t>Foto: https://oxxo-colombia.oneapp.cl/static/img/Respuesta/64560366/2e89b4bd366b6a1cb441f3de4fb50abc.jpg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</si>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</sst>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27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27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2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205" Type="http://schemas.openxmlformats.org/officeDocument/2006/relationships/hyperlink" Target="https://maps.app.goo.gl/NS1DvRiF7cweGxat7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16" Type="http://schemas.openxmlformats.org/officeDocument/2006/relationships/hyperlink" Target="https://maps.app.goo.gl/YeadoXSubg4yFrpz8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206" Type="http://schemas.openxmlformats.org/officeDocument/2006/relationships/hyperlink" Target="https://oxxo-colombia.oneapp.cl/static/img/Respuesta/64492024/6b66cb73921171592609b213ecd434b5.jpg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207" Type="http://schemas.openxmlformats.org/officeDocument/2006/relationships/hyperlink" Target="https://maps.app.goo.gl/8rL3JwMyL57oMLfm8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4" Type="http://schemas.openxmlformats.org/officeDocument/2006/relationships/hyperlink" Target="https://maps.app.goo.gl/xqXqLXgy7UCyB6pz9?g_st=ac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31" Type="http://schemas.openxmlformats.org/officeDocument/2006/relationships/hyperlink" Target="https://maps.app.goo.gl/ZhTVCnNkcqmFjSWDA?g_st=ic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208" Type="http://schemas.openxmlformats.org/officeDocument/2006/relationships/hyperlink" Target="https://oxxo-colombia.oneapp.cl/static/img/Respuesta/64496916/7534145f1397ff7f4f255d868b5f9f10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3" Type="http://schemas.openxmlformats.org/officeDocument/2006/relationships/hyperlink" Target="https://maps.app.goo.gl/cyi7f3fML7fKbAXTA" TargetMode="External"/><Relationship Id="rId214" Type="http://schemas.openxmlformats.org/officeDocument/2006/relationships/hyperlink" Target="https://maps.app.goo.gl/8FuTV4SS1zzXVKt68?g_st=ac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209" Type="http://schemas.openxmlformats.org/officeDocument/2006/relationships/hyperlink" Target="https://maps.app.goo.gl/2ZxP3fEVHqy4f7vA9" TargetMode="External"/><Relationship Id="rId190" Type="http://schemas.openxmlformats.org/officeDocument/2006/relationships/hyperlink" Target="https://maps.app.goo.gl/7wQSTpfpJztjYpXg8?g_st=ac" TargetMode="External"/><Relationship Id="rId204" Type="http://schemas.openxmlformats.org/officeDocument/2006/relationships/hyperlink" Target="https://maps.app.goo.gl/cKNJGd4MhXjkezUV8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10" Type="http://schemas.openxmlformats.org/officeDocument/2006/relationships/hyperlink" Target="https://maps.app.goo.gl/shRbaHAgchEdEM4C8" TargetMode="External"/><Relationship Id="rId215" Type="http://schemas.openxmlformats.org/officeDocument/2006/relationships/hyperlink" Target="https://maps.app.goo.gl/bY7bMTPL2YEayuiV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200" Type="http://schemas.openxmlformats.org/officeDocument/2006/relationships/hyperlink" Target="https://maps.app.goo.gl/ouU7HMAnQm2FRDUh6?g_st=ac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11" Type="http://schemas.openxmlformats.org/officeDocument/2006/relationships/hyperlink" Target="https://maps.app.goo.gl/2fMhKXAswbtgWt95A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201" Type="http://schemas.openxmlformats.org/officeDocument/2006/relationships/hyperlink" Target="https://maps.app.goo.gl/gyXitncdMkQc5a4V8?g_st=ac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12" Type="http://schemas.openxmlformats.org/officeDocument/2006/relationships/hyperlink" Target="https://maps.app.goo.gl/mfBZXKXjBVFyyG7s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98" Type="http://schemas.openxmlformats.org/officeDocument/2006/relationships/hyperlink" Target="https://maps.app.goo.gl/xn4DrLvbwcZVAVs3A" TargetMode="External"/><Relationship Id="rId202" Type="http://schemas.openxmlformats.org/officeDocument/2006/relationships/hyperlink" Target="https://maps.app.goo.gl/tH7bykwF6AAyaUaa8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13" Type="http://schemas.openxmlformats.org/officeDocument/2006/relationships/hyperlink" Target="https://maps.app.goo.gl/V6ShpyxgiSEuTN7Y6?g_st=iw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40" Type="http://schemas.openxmlformats.org/officeDocument/2006/relationships/hyperlink" Target="https://share.google/CPQ8CQuA70rGqPrMw" TargetMode="External"/><Relationship Id="rId115" Type="http://schemas.openxmlformats.org/officeDocument/2006/relationships/hyperlink" Target="https://maps.app.goo.gl/31DhpNG6HC1Mw5bK8?g_st=aw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9" Type="http://schemas.openxmlformats.org/officeDocument/2006/relationships/hyperlink" Target="https://maps.app.goo.gl/2va17YRE9djynsJw6?g_st=iw" TargetMode="External"/><Relationship Id="rId203" Type="http://schemas.openxmlformats.org/officeDocument/2006/relationships/hyperlink" Target="https://maps.app.goo.gl/h2xQGxM4DHteF6hx7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6" sqref="C16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topLeftCell="A2"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B4" sqref="B4"/>
    </sheetView>
  </sheetViews>
  <sheetFormatPr defaultColWidth="11.42578125" defaultRowHeight="14.45"/>
  <cols>
    <col min="2" max="2" width="15.140625" bestFit="1" customWidth="1"/>
  </cols>
  <sheetData>
    <row r="1" spans="1:5">
      <c r="A1" t="s">
        <v>83</v>
      </c>
      <c r="B1" t="s">
        <v>84</v>
      </c>
    </row>
    <row r="2" spans="1:5">
      <c r="A2" t="s">
        <v>85</v>
      </c>
      <c r="B2" t="s">
        <v>86</v>
      </c>
      <c r="C2" t="s">
        <v>87</v>
      </c>
      <c r="D2" t="s">
        <v>88</v>
      </c>
      <c r="E2" t="s">
        <v>89</v>
      </c>
    </row>
    <row r="3" spans="1:5">
      <c r="A3" t="s">
        <v>90</v>
      </c>
      <c r="B3" t="s">
        <v>91</v>
      </c>
    </row>
    <row r="4" spans="1:5">
      <c r="A4" t="s">
        <v>92</v>
      </c>
      <c r="B4" t="s">
        <v>86</v>
      </c>
    </row>
    <row r="5" spans="1:5">
      <c r="A5" t="s">
        <v>93</v>
      </c>
      <c r="B5" t="s">
        <v>88</v>
      </c>
    </row>
    <row r="6" spans="1:5">
      <c r="A6" t="s">
        <v>94</v>
      </c>
      <c r="B6" t="s">
        <v>84</v>
      </c>
    </row>
    <row r="7" spans="1:5">
      <c r="A7" t="s">
        <v>95</v>
      </c>
      <c r="B7" t="s">
        <v>91</v>
      </c>
    </row>
    <row r="8" spans="1:5">
      <c r="A8" t="s">
        <v>96</v>
      </c>
      <c r="B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208"/>
  <sheetViews>
    <sheetView showGridLines="0" tabSelected="1" zoomScale="67" zoomScaleNormal="70" workbookViewId="0">
      <pane xSplit="11" ySplit="1" topLeftCell="U201" activePane="bottomRight" state="frozen"/>
      <selection pane="bottomRight" activeCell="B196" sqref="B196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97</v>
      </c>
      <c r="B1" s="30" t="s">
        <v>0</v>
      </c>
      <c r="C1" s="30" t="s">
        <v>98</v>
      </c>
      <c r="D1" s="30" t="s">
        <v>99</v>
      </c>
      <c r="E1" s="30" t="s">
        <v>100</v>
      </c>
      <c r="F1" s="30" t="s">
        <v>101</v>
      </c>
      <c r="G1" s="30" t="s">
        <v>102</v>
      </c>
      <c r="H1" s="30" t="s">
        <v>103</v>
      </c>
      <c r="I1" s="30" t="s">
        <v>104</v>
      </c>
      <c r="J1" s="30" t="s">
        <v>105</v>
      </c>
      <c r="K1" s="30" t="s">
        <v>106</v>
      </c>
      <c r="L1" s="30" t="s">
        <v>107</v>
      </c>
      <c r="M1" s="30" t="s">
        <v>108</v>
      </c>
      <c r="N1" s="30" t="s">
        <v>109</v>
      </c>
      <c r="O1" s="30" t="s">
        <v>110</v>
      </c>
      <c r="P1" s="30" t="s">
        <v>111</v>
      </c>
      <c r="Q1" s="30" t="s">
        <v>112</v>
      </c>
      <c r="R1" s="30" t="s">
        <v>113</v>
      </c>
      <c r="S1" s="30" t="s">
        <v>114</v>
      </c>
      <c r="T1" s="32" t="s">
        <v>115</v>
      </c>
      <c r="U1" s="36" t="s">
        <v>116</v>
      </c>
      <c r="V1" s="31" t="s">
        <v>117</v>
      </c>
      <c r="W1" s="31" t="s">
        <v>103</v>
      </c>
      <c r="X1" s="31" t="s">
        <v>102</v>
      </c>
      <c r="Y1" s="31" t="s">
        <v>118</v>
      </c>
      <c r="Z1" s="31" t="s">
        <v>119</v>
      </c>
      <c r="AA1" s="31" t="s">
        <v>120</v>
      </c>
      <c r="AB1" s="31" t="s">
        <v>121</v>
      </c>
      <c r="AC1" s="31" t="s">
        <v>122</v>
      </c>
      <c r="AD1" s="31" t="s">
        <v>123</v>
      </c>
      <c r="AE1" s="31" t="s">
        <v>124</v>
      </c>
      <c r="AF1" s="31" t="s">
        <v>125</v>
      </c>
      <c r="AG1" s="31" t="s">
        <v>126</v>
      </c>
      <c r="AH1" s="31" t="s">
        <v>127</v>
      </c>
      <c r="AI1" s="31" t="s">
        <v>128</v>
      </c>
      <c r="AJ1" s="31" t="s">
        <v>129</v>
      </c>
      <c r="AK1" s="31" t="s">
        <v>130</v>
      </c>
      <c r="AL1" s="31" t="s">
        <v>131</v>
      </c>
      <c r="AM1" s="31" t="s">
        <v>132</v>
      </c>
      <c r="AN1" s="39" t="s">
        <v>133</v>
      </c>
    </row>
    <row r="2" spans="1:40" ht="32.1" customHeight="1">
      <c r="A2" s="14">
        <v>3649249</v>
      </c>
      <c r="B2" s="14" t="s">
        <v>13</v>
      </c>
      <c r="C2" s="14" t="s">
        <v>134</v>
      </c>
      <c r="D2" s="14" t="s">
        <v>135</v>
      </c>
      <c r="E2" s="14" t="s">
        <v>135</v>
      </c>
      <c r="F2" s="14" t="s">
        <v>136</v>
      </c>
      <c r="G2" s="14">
        <v>2026</v>
      </c>
      <c r="H2" s="14" t="s">
        <v>137</v>
      </c>
      <c r="I2" s="14" t="s">
        <v>138</v>
      </c>
      <c r="J2" s="14" t="s">
        <v>139</v>
      </c>
      <c r="K2" s="14"/>
      <c r="L2" s="14" t="s">
        <v>5</v>
      </c>
      <c r="M2" s="14" t="s">
        <v>140</v>
      </c>
      <c r="N2" s="14" t="s">
        <v>141</v>
      </c>
      <c r="O2" s="14"/>
      <c r="P2" s="14" t="s">
        <v>142</v>
      </c>
      <c r="Q2" s="14" t="s">
        <v>143</v>
      </c>
      <c r="R2" s="14" t="s">
        <v>144</v>
      </c>
      <c r="S2" s="14" t="s">
        <v>145</v>
      </c>
      <c r="T2" s="18">
        <v>3007751069</v>
      </c>
      <c r="U2" s="21" t="s">
        <v>146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147</v>
      </c>
      <c r="AA2">
        <v>7.0706374277242299</v>
      </c>
      <c r="AB2">
        <v>-73.105528329117803</v>
      </c>
      <c r="AC2" t="s">
        <v>148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149</v>
      </c>
      <c r="D3" s="14" t="s">
        <v>135</v>
      </c>
      <c r="E3" s="14" t="s">
        <v>135</v>
      </c>
      <c r="F3" s="14" t="s">
        <v>150</v>
      </c>
      <c r="G3" s="14">
        <v>2026</v>
      </c>
      <c r="H3" s="14" t="s">
        <v>137</v>
      </c>
      <c r="I3" s="14" t="s">
        <v>138</v>
      </c>
      <c r="J3" s="14" t="s">
        <v>151</v>
      </c>
      <c r="K3" s="14"/>
      <c r="L3" s="14" t="s">
        <v>4</v>
      </c>
      <c r="M3" s="14" t="s">
        <v>85</v>
      </c>
      <c r="N3" s="14" t="s">
        <v>152</v>
      </c>
      <c r="O3" s="14"/>
      <c r="P3" s="17" t="s">
        <v>153</v>
      </c>
      <c r="Q3" s="14" t="s">
        <v>143</v>
      </c>
      <c r="R3" s="14" t="s">
        <v>144</v>
      </c>
      <c r="S3" s="14">
        <v>3103340792</v>
      </c>
      <c r="T3" s="18" t="s">
        <v>154</v>
      </c>
      <c r="U3" s="21" t="s">
        <v>155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147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149</v>
      </c>
      <c r="D4" s="14" t="s">
        <v>135</v>
      </c>
      <c r="E4" s="14" t="s">
        <v>135</v>
      </c>
      <c r="F4" s="14" t="s">
        <v>156</v>
      </c>
      <c r="G4" s="14">
        <v>2026</v>
      </c>
      <c r="H4" s="14" t="s">
        <v>137</v>
      </c>
      <c r="I4" s="14" t="s">
        <v>138</v>
      </c>
      <c r="J4" s="14" t="s">
        <v>157</v>
      </c>
      <c r="K4" s="14"/>
      <c r="L4" s="14" t="s">
        <v>4</v>
      </c>
      <c r="M4" s="14" t="s">
        <v>85</v>
      </c>
      <c r="N4" s="14" t="s">
        <v>158</v>
      </c>
      <c r="O4" s="14"/>
      <c r="P4" s="17" t="s">
        <v>159</v>
      </c>
      <c r="Q4" s="14" t="s">
        <v>143</v>
      </c>
      <c r="R4" s="14" t="s">
        <v>144</v>
      </c>
      <c r="S4" s="14">
        <v>3004550101</v>
      </c>
      <c r="T4" s="18" t="s">
        <v>160</v>
      </c>
      <c r="U4" s="21" t="s">
        <v>161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147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162</v>
      </c>
      <c r="D5" s="14" t="s">
        <v>135</v>
      </c>
      <c r="E5" s="14" t="s">
        <v>135</v>
      </c>
      <c r="F5" s="14" t="s">
        <v>163</v>
      </c>
      <c r="G5" s="14">
        <v>2026</v>
      </c>
      <c r="H5" s="14" t="s">
        <v>137</v>
      </c>
      <c r="I5" s="14" t="s">
        <v>138</v>
      </c>
      <c r="J5" s="14" t="s">
        <v>164</v>
      </c>
      <c r="K5" s="14"/>
      <c r="L5" s="14" t="s">
        <v>6</v>
      </c>
      <c r="M5" s="14" t="s">
        <v>165</v>
      </c>
      <c r="N5" s="14" t="s">
        <v>166</v>
      </c>
      <c r="O5" s="14"/>
      <c r="P5" s="17" t="s">
        <v>167</v>
      </c>
      <c r="Q5" s="14" t="s">
        <v>168</v>
      </c>
      <c r="R5" s="14" t="s">
        <v>144</v>
      </c>
      <c r="S5" s="14" t="s">
        <v>169</v>
      </c>
      <c r="T5" s="18" t="s">
        <v>170</v>
      </c>
      <c r="U5" s="21" t="s">
        <v>171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147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162</v>
      </c>
      <c r="D6" s="14" t="s">
        <v>135</v>
      </c>
      <c r="E6" s="14" t="s">
        <v>135</v>
      </c>
      <c r="F6" s="14" t="s">
        <v>172</v>
      </c>
      <c r="G6" s="14">
        <v>2026</v>
      </c>
      <c r="H6" s="14" t="s">
        <v>137</v>
      </c>
      <c r="I6" s="14" t="s">
        <v>138</v>
      </c>
      <c r="J6" s="14" t="s">
        <v>173</v>
      </c>
      <c r="K6" s="14"/>
      <c r="L6" s="14" t="s">
        <v>6</v>
      </c>
      <c r="M6" s="14" t="s">
        <v>165</v>
      </c>
      <c r="N6" s="14" t="s">
        <v>174</v>
      </c>
      <c r="O6" s="14"/>
      <c r="P6" s="17" t="s">
        <v>175</v>
      </c>
      <c r="Q6" s="14" t="s">
        <v>143</v>
      </c>
      <c r="R6" s="14" t="s">
        <v>176</v>
      </c>
      <c r="S6" s="14" t="s">
        <v>177</v>
      </c>
      <c r="T6" s="33" t="s">
        <v>178</v>
      </c>
      <c r="U6" s="21" t="s">
        <v>179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147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180</v>
      </c>
      <c r="D7" s="14" t="s">
        <v>135</v>
      </c>
      <c r="E7" s="14" t="s">
        <v>135</v>
      </c>
      <c r="F7" s="14" t="s">
        <v>181</v>
      </c>
      <c r="G7" s="14">
        <v>2026</v>
      </c>
      <c r="H7" s="14" t="s">
        <v>137</v>
      </c>
      <c r="I7" s="14" t="s">
        <v>138</v>
      </c>
      <c r="J7" s="14" t="s">
        <v>182</v>
      </c>
      <c r="K7" s="14" t="s">
        <v>183</v>
      </c>
      <c r="L7" s="14" t="s">
        <v>6</v>
      </c>
      <c r="M7" s="14" t="s">
        <v>165</v>
      </c>
      <c r="N7" s="14" t="s">
        <v>184</v>
      </c>
      <c r="O7" s="14"/>
      <c r="P7" s="17" t="s">
        <v>185</v>
      </c>
      <c r="Q7" s="14" t="s">
        <v>143</v>
      </c>
      <c r="R7" s="14" t="s">
        <v>144</v>
      </c>
      <c r="S7" s="14">
        <v>3009121600</v>
      </c>
      <c r="T7" s="18" t="s">
        <v>186</v>
      </c>
      <c r="U7" s="21" t="s">
        <v>187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147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188</v>
      </c>
      <c r="D8" s="14" t="s">
        <v>135</v>
      </c>
      <c r="E8" s="14" t="s">
        <v>135</v>
      </c>
      <c r="F8" s="14" t="s">
        <v>189</v>
      </c>
      <c r="G8" s="14">
        <v>2026</v>
      </c>
      <c r="H8" s="14" t="s">
        <v>137</v>
      </c>
      <c r="I8" s="14" t="s">
        <v>138</v>
      </c>
      <c r="J8" s="14" t="s">
        <v>190</v>
      </c>
      <c r="K8" s="14"/>
      <c r="L8" s="14" t="s">
        <v>4</v>
      </c>
      <c r="M8" s="14" t="s">
        <v>92</v>
      </c>
      <c r="N8" s="14" t="s">
        <v>191</v>
      </c>
      <c r="O8" s="14"/>
      <c r="P8" s="17" t="s">
        <v>192</v>
      </c>
      <c r="Q8" s="14" t="s">
        <v>168</v>
      </c>
      <c r="R8" s="14" t="s">
        <v>193</v>
      </c>
      <c r="S8" s="14">
        <v>3104257782</v>
      </c>
      <c r="T8" s="18" t="s">
        <v>194</v>
      </c>
      <c r="U8" s="21" t="s">
        <v>195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147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196</v>
      </c>
      <c r="D9" s="14" t="s">
        <v>197</v>
      </c>
      <c r="E9" s="14" t="s">
        <v>197</v>
      </c>
      <c r="F9" s="14" t="s">
        <v>198</v>
      </c>
      <c r="G9" s="14">
        <v>2026</v>
      </c>
      <c r="H9" s="14" t="s">
        <v>137</v>
      </c>
      <c r="I9" s="14" t="s">
        <v>138</v>
      </c>
      <c r="J9" s="14" t="s">
        <v>199</v>
      </c>
      <c r="K9" s="14" t="s">
        <v>200</v>
      </c>
      <c r="L9" s="14" t="s">
        <v>4</v>
      </c>
      <c r="M9" s="14" t="s">
        <v>85</v>
      </c>
      <c r="N9" s="14" t="s">
        <v>201</v>
      </c>
      <c r="O9" s="14"/>
      <c r="P9" s="17" t="s">
        <v>202</v>
      </c>
      <c r="Q9" s="14" t="s">
        <v>168</v>
      </c>
      <c r="R9" s="14" t="s">
        <v>144</v>
      </c>
      <c r="S9" s="14">
        <v>3112914286</v>
      </c>
      <c r="T9" s="18" t="s">
        <v>203</v>
      </c>
      <c r="U9" s="21" t="s">
        <v>204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147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205</v>
      </c>
    </row>
    <row r="10" spans="1:40" ht="32.1" customHeight="1">
      <c r="A10" s="14">
        <v>3652752</v>
      </c>
      <c r="B10" s="14" t="s">
        <v>22</v>
      </c>
      <c r="C10" s="14" t="s">
        <v>196</v>
      </c>
      <c r="D10" s="14" t="s">
        <v>197</v>
      </c>
      <c r="E10" s="14" t="s">
        <v>197</v>
      </c>
      <c r="F10" s="14" t="s">
        <v>206</v>
      </c>
      <c r="G10" s="14">
        <v>2026</v>
      </c>
      <c r="H10" s="14" t="s">
        <v>137</v>
      </c>
      <c r="I10" s="14" t="s">
        <v>138</v>
      </c>
      <c r="J10" s="14" t="s">
        <v>207</v>
      </c>
      <c r="K10" s="14" t="s">
        <v>208</v>
      </c>
      <c r="L10" s="14" t="s">
        <v>4</v>
      </c>
      <c r="M10" s="14" t="s">
        <v>85</v>
      </c>
      <c r="N10" s="14" t="s">
        <v>209</v>
      </c>
      <c r="O10" s="14"/>
      <c r="P10" s="17" t="s">
        <v>210</v>
      </c>
      <c r="Q10" s="14" t="s">
        <v>168</v>
      </c>
      <c r="R10" s="14" t="s">
        <v>144</v>
      </c>
      <c r="S10" s="14">
        <v>3112034494</v>
      </c>
      <c r="T10" s="18" t="s">
        <v>203</v>
      </c>
      <c r="U10" s="21" t="s">
        <v>211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147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196</v>
      </c>
      <c r="D11" s="14" t="s">
        <v>197</v>
      </c>
      <c r="E11" s="14" t="s">
        <v>197</v>
      </c>
      <c r="F11" s="14" t="s">
        <v>212</v>
      </c>
      <c r="G11" s="14">
        <v>2026</v>
      </c>
      <c r="H11" s="14" t="s">
        <v>137</v>
      </c>
      <c r="I11" s="14" t="s">
        <v>138</v>
      </c>
      <c r="J11" s="14" t="s">
        <v>213</v>
      </c>
      <c r="K11" s="14" t="s">
        <v>214</v>
      </c>
      <c r="L11" s="14" t="s">
        <v>4</v>
      </c>
      <c r="M11" s="14" t="s">
        <v>85</v>
      </c>
      <c r="N11" s="14" t="s">
        <v>215</v>
      </c>
      <c r="O11" s="14"/>
      <c r="P11" s="17" t="s">
        <v>216</v>
      </c>
      <c r="Q11" s="14" t="s">
        <v>168</v>
      </c>
      <c r="R11" s="14" t="s">
        <v>144</v>
      </c>
      <c r="S11" s="14">
        <v>3114910947</v>
      </c>
      <c r="T11" s="18" t="s">
        <v>217</v>
      </c>
      <c r="U11" s="21" t="s">
        <v>218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147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219</v>
      </c>
      <c r="D12" s="14" t="s">
        <v>197</v>
      </c>
      <c r="E12" s="14" t="s">
        <v>197</v>
      </c>
      <c r="F12" s="14" t="s">
        <v>220</v>
      </c>
      <c r="G12" s="14">
        <v>2026</v>
      </c>
      <c r="H12" s="14" t="s">
        <v>137</v>
      </c>
      <c r="I12" s="14" t="s">
        <v>138</v>
      </c>
      <c r="J12" s="14" t="s">
        <v>221</v>
      </c>
      <c r="K12" s="14"/>
      <c r="L12" s="14" t="s">
        <v>4</v>
      </c>
      <c r="M12" s="14" t="s">
        <v>85</v>
      </c>
      <c r="N12" s="14" t="s">
        <v>222</v>
      </c>
      <c r="O12" s="14"/>
      <c r="P12" s="17" t="s">
        <v>223</v>
      </c>
      <c r="Q12" s="14" t="s">
        <v>224</v>
      </c>
      <c r="R12" s="14" t="s">
        <v>225</v>
      </c>
      <c r="S12" s="14">
        <v>3102521005</v>
      </c>
      <c r="T12" s="18" t="s">
        <v>226</v>
      </c>
      <c r="U12" s="21" t="s">
        <v>227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147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196</v>
      </c>
      <c r="D13" s="14" t="s">
        <v>197</v>
      </c>
      <c r="E13" s="14" t="s">
        <v>197</v>
      </c>
      <c r="F13" s="14" t="s">
        <v>228</v>
      </c>
      <c r="G13" s="14">
        <v>2026</v>
      </c>
      <c r="H13" s="14" t="s">
        <v>137</v>
      </c>
      <c r="I13" s="14" t="s">
        <v>138</v>
      </c>
      <c r="J13" s="14" t="s">
        <v>229</v>
      </c>
      <c r="K13" s="14"/>
      <c r="L13" s="14" t="s">
        <v>4</v>
      </c>
      <c r="M13" s="14" t="s">
        <v>85</v>
      </c>
      <c r="N13" s="14" t="s">
        <v>230</v>
      </c>
      <c r="O13" s="14"/>
      <c r="P13" s="17" t="s">
        <v>231</v>
      </c>
      <c r="Q13" s="14" t="s">
        <v>168</v>
      </c>
      <c r="R13" s="14" t="s">
        <v>144</v>
      </c>
      <c r="S13" s="14" t="s">
        <v>232</v>
      </c>
      <c r="T13" s="18" t="s">
        <v>203</v>
      </c>
      <c r="U13" s="21" t="s">
        <v>233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147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196</v>
      </c>
      <c r="D14" s="14" t="s">
        <v>197</v>
      </c>
      <c r="E14" s="14" t="s">
        <v>197</v>
      </c>
      <c r="F14" s="14" t="s">
        <v>234</v>
      </c>
      <c r="G14" s="14">
        <v>2026</v>
      </c>
      <c r="H14" s="14" t="s">
        <v>137</v>
      </c>
      <c r="I14" s="14" t="s">
        <v>138</v>
      </c>
      <c r="J14" s="14" t="s">
        <v>235</v>
      </c>
      <c r="K14" s="14"/>
      <c r="L14" s="14" t="s">
        <v>4</v>
      </c>
      <c r="M14" s="14" t="s">
        <v>85</v>
      </c>
      <c r="N14" s="14" t="s">
        <v>236</v>
      </c>
      <c r="O14" s="14"/>
      <c r="P14" s="17" t="s">
        <v>237</v>
      </c>
      <c r="Q14" s="14" t="s">
        <v>168</v>
      </c>
      <c r="R14" s="14" t="s">
        <v>144</v>
      </c>
      <c r="S14" s="14">
        <v>3105722683</v>
      </c>
      <c r="T14" s="18" t="s">
        <v>238</v>
      </c>
      <c r="U14" s="37" t="s">
        <v>239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147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240</v>
      </c>
      <c r="D15" s="14" t="s">
        <v>197</v>
      </c>
      <c r="E15" s="14" t="s">
        <v>197</v>
      </c>
      <c r="F15" s="14" t="s">
        <v>241</v>
      </c>
      <c r="G15" s="14">
        <v>2026</v>
      </c>
      <c r="H15" s="14" t="s">
        <v>137</v>
      </c>
      <c r="I15" s="14" t="s">
        <v>138</v>
      </c>
      <c r="J15" s="14" t="s">
        <v>242</v>
      </c>
      <c r="K15" s="14"/>
      <c r="L15" s="14" t="s">
        <v>4</v>
      </c>
      <c r="M15" s="14" t="s">
        <v>243</v>
      </c>
      <c r="N15" s="14" t="s">
        <v>244</v>
      </c>
      <c r="O15" s="14"/>
      <c r="P15" s="17" t="s">
        <v>245</v>
      </c>
      <c r="Q15" s="14" t="s">
        <v>168</v>
      </c>
      <c r="R15" s="14" t="s">
        <v>144</v>
      </c>
      <c r="S15" s="14" t="s">
        <v>246</v>
      </c>
      <c r="T15" s="18">
        <v>3002661196</v>
      </c>
      <c r="U15" s="21" t="s">
        <v>247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147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248</v>
      </c>
      <c r="D16" s="14" t="s">
        <v>197</v>
      </c>
      <c r="E16" s="14" t="s">
        <v>197</v>
      </c>
      <c r="F16" s="14" t="s">
        <v>249</v>
      </c>
      <c r="G16" s="14">
        <v>2026</v>
      </c>
      <c r="H16" s="14" t="s">
        <v>137</v>
      </c>
      <c r="I16" s="14" t="s">
        <v>138</v>
      </c>
      <c r="J16" s="14" t="s">
        <v>250</v>
      </c>
      <c r="K16" s="14"/>
      <c r="L16" s="14" t="s">
        <v>4</v>
      </c>
      <c r="M16" s="14" t="s">
        <v>85</v>
      </c>
      <c r="N16" s="14" t="s">
        <v>251</v>
      </c>
      <c r="O16" s="14"/>
      <c r="P16" s="17" t="s">
        <v>252</v>
      </c>
      <c r="Q16" s="14" t="s">
        <v>143</v>
      </c>
      <c r="R16" s="14" t="s">
        <v>144</v>
      </c>
      <c r="S16" s="14">
        <v>3112914286</v>
      </c>
      <c r="T16" s="18" t="s">
        <v>253</v>
      </c>
      <c r="U16" s="21" t="s">
        <v>254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255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256</v>
      </c>
      <c r="D17" s="14" t="s">
        <v>197</v>
      </c>
      <c r="E17" s="14" t="s">
        <v>197</v>
      </c>
      <c r="F17" s="14" t="s">
        <v>257</v>
      </c>
      <c r="G17" s="14">
        <v>2026</v>
      </c>
      <c r="H17" s="14" t="s">
        <v>137</v>
      </c>
      <c r="I17" s="14" t="s">
        <v>138</v>
      </c>
      <c r="J17" s="14" t="s">
        <v>258</v>
      </c>
      <c r="K17" s="14"/>
      <c r="L17" s="14" t="s">
        <v>4</v>
      </c>
      <c r="M17" s="14" t="s">
        <v>243</v>
      </c>
      <c r="N17" s="14" t="s">
        <v>259</v>
      </c>
      <c r="O17" s="14"/>
      <c r="P17" s="17" t="s">
        <v>260</v>
      </c>
      <c r="Q17" s="14" t="s">
        <v>168</v>
      </c>
      <c r="R17" s="14" t="s">
        <v>144</v>
      </c>
      <c r="S17" s="14">
        <v>3105652759</v>
      </c>
      <c r="T17" s="18" t="s">
        <v>261</v>
      </c>
      <c r="U17" s="21" t="s">
        <v>262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147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256</v>
      </c>
      <c r="D18" s="14" t="s">
        <v>197</v>
      </c>
      <c r="E18" s="14" t="s">
        <v>197</v>
      </c>
      <c r="F18" s="14" t="s">
        <v>263</v>
      </c>
      <c r="G18" s="14">
        <v>2026</v>
      </c>
      <c r="H18" s="14" t="s">
        <v>137</v>
      </c>
      <c r="I18" s="14" t="s">
        <v>138</v>
      </c>
      <c r="J18" s="14" t="s">
        <v>264</v>
      </c>
      <c r="K18" s="14" t="s">
        <v>265</v>
      </c>
      <c r="L18" s="14" t="s">
        <v>4</v>
      </c>
      <c r="M18" s="14" t="s">
        <v>243</v>
      </c>
      <c r="N18" s="14" t="s">
        <v>266</v>
      </c>
      <c r="O18" s="14"/>
      <c r="P18" s="17" t="s">
        <v>267</v>
      </c>
      <c r="Q18" s="14" t="s">
        <v>143</v>
      </c>
      <c r="R18" s="14" t="s">
        <v>176</v>
      </c>
      <c r="S18" s="14">
        <v>3115576168</v>
      </c>
      <c r="T18" s="18" t="s">
        <v>261</v>
      </c>
      <c r="U18" s="21" t="s">
        <v>268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147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269</v>
      </c>
      <c r="D19" s="14" t="s">
        <v>197</v>
      </c>
      <c r="E19" s="14" t="s">
        <v>197</v>
      </c>
      <c r="F19" s="14" t="s">
        <v>270</v>
      </c>
      <c r="G19" s="14">
        <v>2026</v>
      </c>
      <c r="H19" s="14" t="s">
        <v>137</v>
      </c>
      <c r="I19" s="14" t="s">
        <v>138</v>
      </c>
      <c r="J19" s="14" t="s">
        <v>271</v>
      </c>
      <c r="K19" s="14" t="s">
        <v>272</v>
      </c>
      <c r="L19" s="14" t="s">
        <v>4</v>
      </c>
      <c r="M19" s="14" t="s">
        <v>85</v>
      </c>
      <c r="N19" s="14" t="s">
        <v>273</v>
      </c>
      <c r="O19" s="14"/>
      <c r="P19" s="17" t="s">
        <v>274</v>
      </c>
      <c r="Q19" s="14" t="s">
        <v>168</v>
      </c>
      <c r="R19" s="14" t="s">
        <v>144</v>
      </c>
      <c r="S19" s="14" t="s">
        <v>275</v>
      </c>
      <c r="T19" s="18" t="s">
        <v>276</v>
      </c>
      <c r="U19" s="21" t="s">
        <v>277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147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278</v>
      </c>
    </row>
    <row r="20" spans="1:40" ht="32.1" customHeight="1">
      <c r="A20" s="14">
        <v>3653008</v>
      </c>
      <c r="B20" s="14" t="s">
        <v>19</v>
      </c>
      <c r="C20" s="14" t="s">
        <v>256</v>
      </c>
      <c r="D20" s="14" t="s">
        <v>197</v>
      </c>
      <c r="E20" s="14" t="s">
        <v>197</v>
      </c>
      <c r="F20" s="14" t="s">
        <v>279</v>
      </c>
      <c r="G20" s="14">
        <v>2026</v>
      </c>
      <c r="H20" s="14" t="s">
        <v>137</v>
      </c>
      <c r="I20" s="14" t="s">
        <v>138</v>
      </c>
      <c r="J20" s="14" t="s">
        <v>280</v>
      </c>
      <c r="K20" s="14"/>
      <c r="L20" s="14" t="s">
        <v>4</v>
      </c>
      <c r="M20" s="14" t="s">
        <v>243</v>
      </c>
      <c r="N20" s="14" t="s">
        <v>281</v>
      </c>
      <c r="O20" s="14"/>
      <c r="P20" s="17" t="s">
        <v>282</v>
      </c>
      <c r="Q20" s="14" t="s">
        <v>143</v>
      </c>
      <c r="R20" s="14" t="s">
        <v>225</v>
      </c>
      <c r="S20" s="14" t="s">
        <v>283</v>
      </c>
      <c r="T20" s="18" t="s">
        <v>261</v>
      </c>
      <c r="U20" s="21" t="s">
        <v>284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147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248</v>
      </c>
      <c r="D21" s="14" t="s">
        <v>197</v>
      </c>
      <c r="E21" s="14" t="s">
        <v>197</v>
      </c>
      <c r="F21" s="14" t="s">
        <v>285</v>
      </c>
      <c r="G21" s="14">
        <v>2026</v>
      </c>
      <c r="H21" s="14" t="s">
        <v>137</v>
      </c>
      <c r="I21" s="14" t="s">
        <v>138</v>
      </c>
      <c r="J21" s="14" t="s">
        <v>286</v>
      </c>
      <c r="K21" s="14"/>
      <c r="L21" s="14" t="s">
        <v>4</v>
      </c>
      <c r="M21" s="14" t="s">
        <v>85</v>
      </c>
      <c r="N21" s="14" t="s">
        <v>287</v>
      </c>
      <c r="O21" s="14"/>
      <c r="P21" s="17" t="s">
        <v>288</v>
      </c>
      <c r="Q21" s="14" t="s">
        <v>143</v>
      </c>
      <c r="R21" s="14" t="s">
        <v>225</v>
      </c>
      <c r="S21" s="14">
        <v>3142406629</v>
      </c>
      <c r="T21" s="18" t="s">
        <v>261</v>
      </c>
      <c r="U21" s="21" t="s">
        <v>289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147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290</v>
      </c>
      <c r="D22" s="14" t="s">
        <v>197</v>
      </c>
      <c r="E22" s="14" t="s">
        <v>197</v>
      </c>
      <c r="F22" s="14" t="s">
        <v>291</v>
      </c>
      <c r="G22" s="14">
        <v>2026</v>
      </c>
      <c r="H22" s="14" t="s">
        <v>137</v>
      </c>
      <c r="I22" s="14" t="s">
        <v>138</v>
      </c>
      <c r="J22" s="14" t="s">
        <v>292</v>
      </c>
      <c r="K22" s="14"/>
      <c r="L22" s="14" t="s">
        <v>4</v>
      </c>
      <c r="M22" s="14" t="s">
        <v>85</v>
      </c>
      <c r="N22" s="14" t="s">
        <v>293</v>
      </c>
      <c r="O22" s="14"/>
      <c r="P22" s="17" t="s">
        <v>294</v>
      </c>
      <c r="Q22" s="14" t="s">
        <v>143</v>
      </c>
      <c r="R22" s="14" t="s">
        <v>144</v>
      </c>
      <c r="S22" s="14">
        <v>3114910947</v>
      </c>
      <c r="T22" s="18" t="s">
        <v>295</v>
      </c>
      <c r="U22" s="21" t="s">
        <v>296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147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197</v>
      </c>
      <c r="E23" s="14" t="s">
        <v>197</v>
      </c>
      <c r="F23" s="14" t="s">
        <v>297</v>
      </c>
      <c r="G23" s="14">
        <v>2026</v>
      </c>
      <c r="H23" s="14" t="s">
        <v>137</v>
      </c>
      <c r="I23" s="14" t="s">
        <v>138</v>
      </c>
      <c r="J23" s="14" t="s">
        <v>298</v>
      </c>
      <c r="K23" s="14"/>
      <c r="L23" s="14" t="s">
        <v>4</v>
      </c>
      <c r="M23" s="14" t="s">
        <v>243</v>
      </c>
      <c r="N23" s="14" t="s">
        <v>299</v>
      </c>
      <c r="O23" s="14"/>
      <c r="P23" s="17" t="s">
        <v>300</v>
      </c>
      <c r="Q23" s="14" t="s">
        <v>224</v>
      </c>
      <c r="R23" s="14" t="s">
        <v>225</v>
      </c>
      <c r="S23" s="14">
        <v>3506549064</v>
      </c>
      <c r="T23" s="18">
        <v>3506549064</v>
      </c>
      <c r="U23" s="21" t="s">
        <v>301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147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M23"/>
      <c r="AN23" s="29" t="s">
        <v>302</v>
      </c>
    </row>
    <row r="24" spans="1:40" ht="32.1" customHeight="1">
      <c r="A24" s="14">
        <v>3656243</v>
      </c>
      <c r="B24" s="14" t="s">
        <v>16</v>
      </c>
      <c r="C24" s="14" t="s">
        <v>240</v>
      </c>
      <c r="D24" s="14" t="s">
        <v>303</v>
      </c>
      <c r="E24" s="14" t="s">
        <v>303</v>
      </c>
      <c r="F24" s="14" t="s">
        <v>304</v>
      </c>
      <c r="G24" s="14">
        <v>2026</v>
      </c>
      <c r="H24" s="14" t="s">
        <v>137</v>
      </c>
      <c r="I24" s="14" t="s">
        <v>138</v>
      </c>
      <c r="J24" s="14" t="s">
        <v>305</v>
      </c>
      <c r="K24" s="14"/>
      <c r="L24" s="14" t="s">
        <v>4</v>
      </c>
      <c r="M24" s="14" t="s">
        <v>243</v>
      </c>
      <c r="N24" s="14" t="s">
        <v>306</v>
      </c>
      <c r="O24" s="14"/>
      <c r="P24" s="17" t="s">
        <v>307</v>
      </c>
      <c r="Q24" s="14" t="s">
        <v>143</v>
      </c>
      <c r="R24" s="14" t="s">
        <v>144</v>
      </c>
      <c r="S24" s="14" t="s">
        <v>308</v>
      </c>
      <c r="T24" s="18" t="s">
        <v>309</v>
      </c>
      <c r="U24" s="21" t="s">
        <v>310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147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149</v>
      </c>
      <c r="D25" s="14" t="s">
        <v>303</v>
      </c>
      <c r="E25" s="14" t="s">
        <v>303</v>
      </c>
      <c r="F25" s="14" t="s">
        <v>311</v>
      </c>
      <c r="G25" s="14">
        <v>2026</v>
      </c>
      <c r="H25" s="14" t="s">
        <v>137</v>
      </c>
      <c r="I25" s="14" t="s">
        <v>138</v>
      </c>
      <c r="J25" s="14" t="s">
        <v>312</v>
      </c>
      <c r="K25" s="14"/>
      <c r="L25" s="14" t="s">
        <v>4</v>
      </c>
      <c r="M25" s="14" t="s">
        <v>85</v>
      </c>
      <c r="N25" s="14" t="s">
        <v>313</v>
      </c>
      <c r="O25" s="14"/>
      <c r="P25" s="17" t="s">
        <v>314</v>
      </c>
      <c r="Q25" s="14" t="s">
        <v>143</v>
      </c>
      <c r="R25" s="14" t="s">
        <v>144</v>
      </c>
      <c r="S25" s="14">
        <v>3123311755</v>
      </c>
      <c r="T25" s="18">
        <v>3208997195</v>
      </c>
      <c r="U25" s="21" t="s">
        <v>315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147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219</v>
      </c>
      <c r="D26" s="14" t="s">
        <v>303</v>
      </c>
      <c r="E26" s="14" t="s">
        <v>303</v>
      </c>
      <c r="F26" s="14" t="s">
        <v>316</v>
      </c>
      <c r="G26" s="14">
        <v>2026</v>
      </c>
      <c r="H26" s="14" t="s">
        <v>137</v>
      </c>
      <c r="I26" s="14" t="s">
        <v>138</v>
      </c>
      <c r="J26" s="14" t="s">
        <v>317</v>
      </c>
      <c r="K26" s="14"/>
      <c r="L26" s="14" t="s">
        <v>4</v>
      </c>
      <c r="M26" s="14" t="s">
        <v>85</v>
      </c>
      <c r="N26" s="14" t="s">
        <v>318</v>
      </c>
      <c r="O26" s="14"/>
      <c r="P26" s="17" t="s">
        <v>319</v>
      </c>
      <c r="Q26" s="14" t="s">
        <v>224</v>
      </c>
      <c r="R26" s="14" t="s">
        <v>225</v>
      </c>
      <c r="S26" s="14">
        <v>3205633053</v>
      </c>
      <c r="T26" s="18">
        <v>3205633053</v>
      </c>
      <c r="U26" s="21" t="s">
        <v>320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147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180</v>
      </c>
      <c r="D27" s="14" t="s">
        <v>303</v>
      </c>
      <c r="E27" s="14" t="s">
        <v>303</v>
      </c>
      <c r="F27" s="14" t="s">
        <v>321</v>
      </c>
      <c r="G27" s="14">
        <v>2026</v>
      </c>
      <c r="H27" s="14" t="s">
        <v>137</v>
      </c>
      <c r="I27" s="14" t="s">
        <v>138</v>
      </c>
      <c r="J27" s="14" t="s">
        <v>322</v>
      </c>
      <c r="K27" s="14"/>
      <c r="L27" s="14" t="s">
        <v>6</v>
      </c>
      <c r="M27" s="14" t="s">
        <v>165</v>
      </c>
      <c r="N27" s="14" t="s">
        <v>323</v>
      </c>
      <c r="O27" s="14"/>
      <c r="P27" s="17" t="s">
        <v>324</v>
      </c>
      <c r="Q27" s="14" t="s">
        <v>168</v>
      </c>
      <c r="R27" s="14" t="s">
        <v>176</v>
      </c>
      <c r="S27" s="14">
        <v>3104223304</v>
      </c>
      <c r="T27" s="18" t="s">
        <v>325</v>
      </c>
      <c r="U27" s="21" t="s">
        <v>326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147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162</v>
      </c>
      <c r="D28" s="14" t="s">
        <v>303</v>
      </c>
      <c r="E28" s="14" t="s">
        <v>303</v>
      </c>
      <c r="F28" s="14" t="s">
        <v>327</v>
      </c>
      <c r="G28" s="14">
        <v>2026</v>
      </c>
      <c r="H28" s="14" t="s">
        <v>137</v>
      </c>
      <c r="I28" s="14" t="s">
        <v>138</v>
      </c>
      <c r="J28" s="14" t="s">
        <v>328</v>
      </c>
      <c r="K28" s="14"/>
      <c r="L28" s="14" t="s">
        <v>6</v>
      </c>
      <c r="M28" s="14" t="s">
        <v>165</v>
      </c>
      <c r="N28" s="14" t="s">
        <v>329</v>
      </c>
      <c r="O28" s="14"/>
      <c r="P28" s="17" t="s">
        <v>330</v>
      </c>
      <c r="Q28" s="14" t="s">
        <v>143</v>
      </c>
      <c r="R28" s="14" t="s">
        <v>225</v>
      </c>
      <c r="S28" s="14" t="s">
        <v>331</v>
      </c>
      <c r="T28" s="18" t="s">
        <v>332</v>
      </c>
      <c r="U28" s="21" t="s">
        <v>333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147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290</v>
      </c>
      <c r="D29" s="14" t="s">
        <v>303</v>
      </c>
      <c r="E29" s="14" t="s">
        <v>303</v>
      </c>
      <c r="F29" s="14" t="s">
        <v>334</v>
      </c>
      <c r="G29" s="14">
        <v>2026</v>
      </c>
      <c r="H29" s="14" t="s">
        <v>137</v>
      </c>
      <c r="I29" s="14" t="s">
        <v>138</v>
      </c>
      <c r="J29" s="14" t="s">
        <v>335</v>
      </c>
      <c r="K29" s="14"/>
      <c r="L29" s="14" t="s">
        <v>4</v>
      </c>
      <c r="M29" s="14" t="s">
        <v>85</v>
      </c>
      <c r="N29" s="14" t="s">
        <v>336</v>
      </c>
      <c r="O29" s="14"/>
      <c r="P29" s="17" t="s">
        <v>337</v>
      </c>
      <c r="Q29" s="14" t="s">
        <v>143</v>
      </c>
      <c r="R29" s="14" t="s">
        <v>144</v>
      </c>
      <c r="S29" s="14" t="s">
        <v>338</v>
      </c>
      <c r="T29" s="18" t="s">
        <v>295</v>
      </c>
      <c r="U29" s="21" t="s">
        <v>339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147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149</v>
      </c>
      <c r="D30" s="14" t="s">
        <v>303</v>
      </c>
      <c r="E30" s="14" t="s">
        <v>303</v>
      </c>
      <c r="F30" s="14" t="s">
        <v>340</v>
      </c>
      <c r="G30" s="14">
        <v>2026</v>
      </c>
      <c r="H30" s="14" t="s">
        <v>137</v>
      </c>
      <c r="I30" s="14" t="s">
        <v>138</v>
      </c>
      <c r="J30" s="14" t="s">
        <v>341</v>
      </c>
      <c r="K30" s="14" t="s">
        <v>342</v>
      </c>
      <c r="L30" s="14" t="s">
        <v>4</v>
      </c>
      <c r="M30" s="14" t="s">
        <v>85</v>
      </c>
      <c r="N30" s="20" t="s">
        <v>343</v>
      </c>
      <c r="O30" s="14"/>
      <c r="P30" s="17" t="s">
        <v>344</v>
      </c>
      <c r="Q30" s="14" t="s">
        <v>224</v>
      </c>
      <c r="R30" s="14" t="s">
        <v>225</v>
      </c>
      <c r="S30" s="14">
        <v>3124883281</v>
      </c>
      <c r="T30" s="18">
        <v>3028167161</v>
      </c>
      <c r="U30" s="21" t="s">
        <v>345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147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346</v>
      </c>
      <c r="D31" s="14" t="s">
        <v>347</v>
      </c>
      <c r="E31" s="14" t="s">
        <v>347</v>
      </c>
      <c r="F31" s="14" t="s">
        <v>348</v>
      </c>
      <c r="G31" s="14">
        <v>2026</v>
      </c>
      <c r="H31" s="14" t="s">
        <v>137</v>
      </c>
      <c r="I31" s="14" t="s">
        <v>138</v>
      </c>
      <c r="J31" s="20" t="s">
        <v>349</v>
      </c>
      <c r="K31" s="20" t="s">
        <v>350</v>
      </c>
      <c r="L31" s="14" t="s">
        <v>4</v>
      </c>
      <c r="M31" s="18" t="s">
        <v>92</v>
      </c>
      <c r="N31" s="21" t="s">
        <v>351</v>
      </c>
      <c r="O31" s="19"/>
      <c r="P31" s="17" t="s">
        <v>352</v>
      </c>
      <c r="Q31" s="14" t="s">
        <v>224</v>
      </c>
      <c r="R31" s="14" t="s">
        <v>225</v>
      </c>
      <c r="S31" s="14" t="s">
        <v>353</v>
      </c>
      <c r="T31" s="18">
        <v>3112581902</v>
      </c>
      <c r="U31" s="37" t="s">
        <v>354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355</v>
      </c>
      <c r="Z31" t="s">
        <v>147</v>
      </c>
      <c r="AA31" t="s">
        <v>356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357</v>
      </c>
      <c r="D32" s="20" t="s">
        <v>358</v>
      </c>
      <c r="E32" s="20" t="s">
        <v>358</v>
      </c>
      <c r="F32" s="20" t="s">
        <v>359</v>
      </c>
      <c r="G32" s="20">
        <v>2026</v>
      </c>
      <c r="H32" s="20" t="s">
        <v>137</v>
      </c>
      <c r="I32" s="20" t="s">
        <v>138</v>
      </c>
      <c r="J32" s="20" t="s">
        <v>360</v>
      </c>
      <c r="K32" s="20"/>
      <c r="L32" s="20" t="s">
        <v>4</v>
      </c>
      <c r="M32" s="20" t="s">
        <v>85</v>
      </c>
      <c r="N32" s="14" t="s">
        <v>361</v>
      </c>
      <c r="O32" s="19"/>
      <c r="P32" s="17" t="s">
        <v>362</v>
      </c>
      <c r="Q32" s="14" t="s">
        <v>224</v>
      </c>
      <c r="R32" s="14" t="s">
        <v>225</v>
      </c>
      <c r="S32" s="14">
        <v>3014398395</v>
      </c>
      <c r="T32" s="18" t="s">
        <v>363</v>
      </c>
      <c r="U32" s="37" t="s">
        <v>364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147</v>
      </c>
      <c r="AA32" t="s">
        <v>365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357</v>
      </c>
      <c r="D33" s="20" t="s">
        <v>358</v>
      </c>
      <c r="E33" s="20" t="s">
        <v>358</v>
      </c>
      <c r="F33" s="20" t="s">
        <v>366</v>
      </c>
      <c r="G33" s="20">
        <v>2026</v>
      </c>
      <c r="H33" s="20" t="s">
        <v>137</v>
      </c>
      <c r="I33" s="20" t="s">
        <v>138</v>
      </c>
      <c r="J33" s="20" t="s">
        <v>157</v>
      </c>
      <c r="K33" s="20"/>
      <c r="L33" s="20" t="s">
        <v>4</v>
      </c>
      <c r="M33" s="20" t="s">
        <v>85</v>
      </c>
      <c r="N33" s="14" t="s">
        <v>367</v>
      </c>
      <c r="O33" s="19"/>
      <c r="P33" s="17" t="s">
        <v>368</v>
      </c>
      <c r="Q33" s="14" t="s">
        <v>143</v>
      </c>
      <c r="R33" s="14" t="s">
        <v>193</v>
      </c>
      <c r="S33" s="14">
        <v>3004550101</v>
      </c>
      <c r="T33" s="18" t="s">
        <v>363</v>
      </c>
      <c r="U33" s="37" t="s">
        <v>369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255</v>
      </c>
      <c r="AC33" t="s">
        <v>370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357</v>
      </c>
      <c r="D34" s="20" t="s">
        <v>358</v>
      </c>
      <c r="E34" s="20" t="s">
        <v>358</v>
      </c>
      <c r="F34" s="20" t="s">
        <v>371</v>
      </c>
      <c r="G34" s="20">
        <v>2026</v>
      </c>
      <c r="H34" s="20" t="s">
        <v>137</v>
      </c>
      <c r="I34" s="20" t="s">
        <v>138</v>
      </c>
      <c r="J34" s="20" t="s">
        <v>372</v>
      </c>
      <c r="K34" s="20"/>
      <c r="L34" s="20" t="s">
        <v>4</v>
      </c>
      <c r="M34" s="20" t="s">
        <v>85</v>
      </c>
      <c r="N34" s="14" t="s">
        <v>373</v>
      </c>
      <c r="O34" s="19"/>
      <c r="P34" s="17" t="s">
        <v>374</v>
      </c>
      <c r="Q34" s="14" t="s">
        <v>143</v>
      </c>
      <c r="R34" s="14" t="s">
        <v>144</v>
      </c>
      <c r="S34" s="14">
        <v>3146011459</v>
      </c>
      <c r="T34" s="18" t="s">
        <v>363</v>
      </c>
      <c r="U34" s="37" t="s">
        <v>375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147</v>
      </c>
      <c r="AA34" t="s">
        <v>376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357</v>
      </c>
      <c r="D35" s="20" t="s">
        <v>358</v>
      </c>
      <c r="E35" s="20" t="s">
        <v>358</v>
      </c>
      <c r="F35" s="20" t="s">
        <v>377</v>
      </c>
      <c r="G35" s="20">
        <v>2026</v>
      </c>
      <c r="H35" s="20" t="s">
        <v>137</v>
      </c>
      <c r="I35" s="20" t="s">
        <v>138</v>
      </c>
      <c r="J35" s="20" t="s">
        <v>378</v>
      </c>
      <c r="K35" s="20"/>
      <c r="L35" s="20" t="s">
        <v>4</v>
      </c>
      <c r="M35" s="20" t="s">
        <v>85</v>
      </c>
      <c r="N35" s="14" t="s">
        <v>379</v>
      </c>
      <c r="O35" s="19"/>
      <c r="P35" s="17" t="s">
        <v>380</v>
      </c>
      <c r="Q35" s="14" t="s">
        <v>224</v>
      </c>
      <c r="R35" s="14" t="s">
        <v>225</v>
      </c>
      <c r="S35" s="14" t="s">
        <v>381</v>
      </c>
      <c r="T35" s="18" t="s">
        <v>363</v>
      </c>
      <c r="U35" s="37" t="s">
        <v>382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147</v>
      </c>
      <c r="AA35" t="s">
        <v>383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358</v>
      </c>
      <c r="E36" s="20" t="s">
        <v>358</v>
      </c>
      <c r="F36" s="20" t="s">
        <v>384</v>
      </c>
      <c r="G36" s="20">
        <v>2026</v>
      </c>
      <c r="H36" s="20" t="s">
        <v>137</v>
      </c>
      <c r="I36" s="20" t="s">
        <v>138</v>
      </c>
      <c r="J36" s="20" t="s">
        <v>385</v>
      </c>
      <c r="K36" s="20" t="s">
        <v>386</v>
      </c>
      <c r="L36" s="20" t="s">
        <v>4</v>
      </c>
      <c r="M36" s="20" t="s">
        <v>85</v>
      </c>
      <c r="N36" s="14" t="s">
        <v>387</v>
      </c>
      <c r="O36" s="19"/>
      <c r="P36" s="17" t="s">
        <v>388</v>
      </c>
      <c r="Q36" s="14" t="s">
        <v>224</v>
      </c>
      <c r="R36" s="14" t="s">
        <v>225</v>
      </c>
      <c r="S36" s="14">
        <v>3124174552</v>
      </c>
      <c r="T36" s="18">
        <v>3124174552</v>
      </c>
      <c r="U36" s="37" t="s">
        <v>389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147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358</v>
      </c>
      <c r="E37" s="20" t="s">
        <v>358</v>
      </c>
      <c r="F37" s="20" t="s">
        <v>390</v>
      </c>
      <c r="G37" s="20">
        <v>2026</v>
      </c>
      <c r="H37" s="20" t="s">
        <v>137</v>
      </c>
      <c r="I37" s="20" t="s">
        <v>138</v>
      </c>
      <c r="J37" s="20" t="s">
        <v>391</v>
      </c>
      <c r="K37" s="20"/>
      <c r="L37" s="20" t="s">
        <v>4</v>
      </c>
      <c r="M37" s="20" t="s">
        <v>85</v>
      </c>
      <c r="N37" s="14" t="s">
        <v>392</v>
      </c>
      <c r="O37" s="19"/>
      <c r="P37" s="17" t="s">
        <v>393</v>
      </c>
      <c r="Q37" s="14" t="s">
        <v>224</v>
      </c>
      <c r="R37" s="14" t="s">
        <v>225</v>
      </c>
      <c r="S37" s="14">
        <v>3151587722</v>
      </c>
      <c r="T37" s="18">
        <v>3114408944</v>
      </c>
      <c r="U37" s="37" t="s">
        <v>394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147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358</v>
      </c>
      <c r="E38" s="20" t="s">
        <v>358</v>
      </c>
      <c r="F38" s="20" t="s">
        <v>395</v>
      </c>
      <c r="G38" s="20">
        <v>2026</v>
      </c>
      <c r="H38" s="20" t="s">
        <v>137</v>
      </c>
      <c r="I38" s="20" t="s">
        <v>138</v>
      </c>
      <c r="J38" s="20" t="s">
        <v>396</v>
      </c>
      <c r="K38" s="20"/>
      <c r="L38" s="20" t="s">
        <v>4</v>
      </c>
      <c r="M38" s="20" t="s">
        <v>85</v>
      </c>
      <c r="N38" s="14" t="s">
        <v>397</v>
      </c>
      <c r="O38" s="19"/>
      <c r="P38" s="17" t="s">
        <v>398</v>
      </c>
      <c r="Q38" s="14" t="s">
        <v>143</v>
      </c>
      <c r="R38" s="14" t="s">
        <v>225</v>
      </c>
      <c r="S38" s="14">
        <v>3123849628</v>
      </c>
      <c r="T38" s="18">
        <v>3213048268</v>
      </c>
      <c r="U38" s="37" t="s">
        <v>399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147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358</v>
      </c>
      <c r="E39" s="20" t="s">
        <v>358</v>
      </c>
      <c r="F39" s="20" t="s">
        <v>400</v>
      </c>
      <c r="G39" s="20">
        <v>2026</v>
      </c>
      <c r="H39" s="20" t="s">
        <v>137</v>
      </c>
      <c r="I39" s="20" t="s">
        <v>138</v>
      </c>
      <c r="J39" s="20" t="s">
        <v>401</v>
      </c>
      <c r="K39" s="20"/>
      <c r="L39" s="20" t="s">
        <v>4</v>
      </c>
      <c r="M39" s="20" t="s">
        <v>85</v>
      </c>
      <c r="N39" s="14" t="s">
        <v>402</v>
      </c>
      <c r="O39" s="19"/>
      <c r="P39" s="17" t="s">
        <v>403</v>
      </c>
      <c r="Q39" s="14" t="s">
        <v>224</v>
      </c>
      <c r="R39" s="14" t="s">
        <v>144</v>
      </c>
      <c r="S39" s="14">
        <v>3144802665</v>
      </c>
      <c r="T39" s="18">
        <v>3144802665</v>
      </c>
      <c r="U39" s="37" t="s">
        <v>404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147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405</v>
      </c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358</v>
      </c>
      <c r="E40" s="20" t="s">
        <v>358</v>
      </c>
      <c r="F40" s="20" t="s">
        <v>406</v>
      </c>
      <c r="G40" s="20">
        <v>2026</v>
      </c>
      <c r="H40" s="20" t="s">
        <v>137</v>
      </c>
      <c r="I40" s="20" t="s">
        <v>138</v>
      </c>
      <c r="J40" s="20" t="s">
        <v>407</v>
      </c>
      <c r="K40" s="20"/>
      <c r="L40" s="20" t="s">
        <v>4</v>
      </c>
      <c r="M40" s="20" t="s">
        <v>85</v>
      </c>
      <c r="N40" s="14" t="s">
        <v>408</v>
      </c>
      <c r="O40" s="19"/>
      <c r="P40" s="17" t="s">
        <v>409</v>
      </c>
      <c r="Q40" s="14" t="s">
        <v>168</v>
      </c>
      <c r="R40" s="14" t="s">
        <v>144</v>
      </c>
      <c r="S40" s="14">
        <v>3168329200</v>
      </c>
      <c r="T40" s="18">
        <v>3168329200</v>
      </c>
      <c r="U40" s="37" t="s">
        <v>410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147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358</v>
      </c>
      <c r="E41" s="20" t="s">
        <v>358</v>
      </c>
      <c r="F41" s="20" t="s">
        <v>411</v>
      </c>
      <c r="G41" s="20">
        <v>2026</v>
      </c>
      <c r="H41" s="20" t="s">
        <v>137</v>
      </c>
      <c r="I41" s="20" t="s">
        <v>138</v>
      </c>
      <c r="J41" s="20" t="s">
        <v>412</v>
      </c>
      <c r="K41" s="20"/>
      <c r="L41" s="20" t="s">
        <v>4</v>
      </c>
      <c r="M41" s="20" t="s">
        <v>85</v>
      </c>
      <c r="N41" s="14" t="s">
        <v>413</v>
      </c>
      <c r="O41" s="19"/>
      <c r="P41" s="17" t="s">
        <v>414</v>
      </c>
      <c r="Q41" s="14" t="s">
        <v>224</v>
      </c>
      <c r="R41" s="14" t="s">
        <v>144</v>
      </c>
      <c r="S41" s="14">
        <v>3105726862</v>
      </c>
      <c r="T41" s="18">
        <v>3105726862</v>
      </c>
      <c r="U41" s="37" t="s">
        <v>415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255</v>
      </c>
      <c r="AC41" t="s">
        <v>416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417</v>
      </c>
      <c r="D42" s="20" t="s">
        <v>418</v>
      </c>
      <c r="E42" s="20" t="s">
        <v>418</v>
      </c>
      <c r="F42" s="20" t="s">
        <v>419</v>
      </c>
      <c r="G42" s="20">
        <v>2026</v>
      </c>
      <c r="H42" s="20" t="s">
        <v>137</v>
      </c>
      <c r="I42" s="20" t="s">
        <v>138</v>
      </c>
      <c r="J42" s="20" t="s">
        <v>420</v>
      </c>
      <c r="K42" s="20"/>
      <c r="L42" s="20" t="s">
        <v>5</v>
      </c>
      <c r="M42" s="20" t="s">
        <v>140</v>
      </c>
      <c r="N42" s="14" t="s">
        <v>421</v>
      </c>
      <c r="O42" s="19"/>
      <c r="P42" s="17" t="s">
        <v>422</v>
      </c>
      <c r="Q42" s="14" t="s">
        <v>224</v>
      </c>
      <c r="R42" s="14" t="s">
        <v>225</v>
      </c>
      <c r="S42" s="14">
        <v>3160181684</v>
      </c>
      <c r="T42" s="18" t="s">
        <v>423</v>
      </c>
      <c r="U42" s="37" t="s">
        <v>424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147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425</v>
      </c>
      <c r="D43" s="20" t="s">
        <v>418</v>
      </c>
      <c r="E43" s="20" t="s">
        <v>418</v>
      </c>
      <c r="F43" s="20" t="s">
        <v>426</v>
      </c>
      <c r="G43" s="20">
        <v>2026</v>
      </c>
      <c r="H43" s="20" t="s">
        <v>137</v>
      </c>
      <c r="I43" s="20" t="s">
        <v>138</v>
      </c>
      <c r="J43" s="20" t="s">
        <v>427</v>
      </c>
      <c r="K43" s="20"/>
      <c r="L43" s="20" t="s">
        <v>4</v>
      </c>
      <c r="M43" s="20" t="s">
        <v>85</v>
      </c>
      <c r="N43" s="14" t="s">
        <v>428</v>
      </c>
      <c r="O43" s="19"/>
      <c r="P43" s="17" t="s">
        <v>429</v>
      </c>
      <c r="Q43" s="14" t="s">
        <v>143</v>
      </c>
      <c r="R43" s="14" t="s">
        <v>144</v>
      </c>
      <c r="S43" s="14" t="s">
        <v>430</v>
      </c>
      <c r="T43" s="18" t="s">
        <v>431</v>
      </c>
      <c r="U43" s="37" t="s">
        <v>432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147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433</v>
      </c>
      <c r="D44" s="20" t="s">
        <v>418</v>
      </c>
      <c r="E44" s="20" t="s">
        <v>418</v>
      </c>
      <c r="F44" s="20" t="s">
        <v>434</v>
      </c>
      <c r="G44" s="20">
        <v>2026</v>
      </c>
      <c r="H44" s="20" t="s">
        <v>137</v>
      </c>
      <c r="I44" s="20" t="s">
        <v>138</v>
      </c>
      <c r="J44" s="20" t="s">
        <v>435</v>
      </c>
      <c r="K44" s="20"/>
      <c r="L44" s="20" t="s">
        <v>4</v>
      </c>
      <c r="M44" s="20" t="s">
        <v>85</v>
      </c>
      <c r="N44" s="14" t="s">
        <v>436</v>
      </c>
      <c r="O44" s="19"/>
      <c r="P44" s="17" t="s">
        <v>437</v>
      </c>
      <c r="Q44" s="14" t="s">
        <v>224</v>
      </c>
      <c r="R44" s="14" t="s">
        <v>144</v>
      </c>
      <c r="S44" s="14">
        <v>3102267246</v>
      </c>
      <c r="T44" s="18" t="s">
        <v>203</v>
      </c>
      <c r="U44" s="37" t="s">
        <v>438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147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439</v>
      </c>
    </row>
    <row r="45" spans="1:40" ht="18.95" customHeight="1">
      <c r="A45" s="20">
        <v>3676247</v>
      </c>
      <c r="B45" s="20" t="s">
        <v>13</v>
      </c>
      <c r="C45" s="20" t="s">
        <v>134</v>
      </c>
      <c r="D45" s="20" t="s">
        <v>418</v>
      </c>
      <c r="E45" s="20" t="s">
        <v>418</v>
      </c>
      <c r="F45" s="20" t="s">
        <v>440</v>
      </c>
      <c r="G45" s="20">
        <v>2026</v>
      </c>
      <c r="H45" s="20" t="s">
        <v>137</v>
      </c>
      <c r="I45" s="20" t="s">
        <v>138</v>
      </c>
      <c r="J45" s="20" t="s">
        <v>441</v>
      </c>
      <c r="K45" s="20" t="s">
        <v>442</v>
      </c>
      <c r="L45" s="20" t="s">
        <v>5</v>
      </c>
      <c r="M45" s="20" t="s">
        <v>140</v>
      </c>
      <c r="N45" s="14" t="s">
        <v>443</v>
      </c>
      <c r="O45" s="19"/>
      <c r="P45" s="17" t="s">
        <v>444</v>
      </c>
      <c r="Q45" s="14" t="s">
        <v>143</v>
      </c>
      <c r="R45" s="14" t="s">
        <v>193</v>
      </c>
      <c r="S45" s="14">
        <v>3209500506</v>
      </c>
      <c r="T45" s="18" t="s">
        <v>445</v>
      </c>
      <c r="U45" s="37" t="s">
        <v>446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147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447</v>
      </c>
      <c r="D46" s="20" t="s">
        <v>418</v>
      </c>
      <c r="E46" s="20" t="s">
        <v>418</v>
      </c>
      <c r="F46" s="20" t="s">
        <v>448</v>
      </c>
      <c r="G46" s="20">
        <v>2026</v>
      </c>
      <c r="H46" s="20" t="s">
        <v>137</v>
      </c>
      <c r="I46" s="20" t="s">
        <v>138</v>
      </c>
      <c r="J46" s="20" t="s">
        <v>449</v>
      </c>
      <c r="K46" s="20"/>
      <c r="L46" s="20" t="s">
        <v>5</v>
      </c>
      <c r="M46" s="20" t="s">
        <v>140</v>
      </c>
      <c r="N46" s="14" t="s">
        <v>450</v>
      </c>
      <c r="O46" s="19"/>
      <c r="P46" s="17" t="s">
        <v>451</v>
      </c>
      <c r="Q46" s="14" t="s">
        <v>168</v>
      </c>
      <c r="R46" s="14" t="s">
        <v>176</v>
      </c>
      <c r="S46" s="14" t="s">
        <v>452</v>
      </c>
      <c r="T46" s="18" t="s">
        <v>453</v>
      </c>
      <c r="U46" s="37" t="s">
        <v>454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147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447</v>
      </c>
      <c r="D47" s="20" t="s">
        <v>418</v>
      </c>
      <c r="E47" s="20" t="s">
        <v>418</v>
      </c>
      <c r="F47" s="20" t="s">
        <v>455</v>
      </c>
      <c r="G47" s="20">
        <v>2026</v>
      </c>
      <c r="H47" s="20" t="s">
        <v>137</v>
      </c>
      <c r="I47" s="20" t="s">
        <v>138</v>
      </c>
      <c r="J47" s="20" t="s">
        <v>456</v>
      </c>
      <c r="K47" s="20"/>
      <c r="L47" s="20" t="s">
        <v>5</v>
      </c>
      <c r="M47" s="20" t="s">
        <v>140</v>
      </c>
      <c r="N47" s="14" t="s">
        <v>457</v>
      </c>
      <c r="O47" s="19"/>
      <c r="P47" s="14" t="s">
        <v>458</v>
      </c>
      <c r="Q47" s="14" t="s">
        <v>143</v>
      </c>
      <c r="R47" s="14" t="s">
        <v>225</v>
      </c>
      <c r="S47" s="14" t="s">
        <v>459</v>
      </c>
      <c r="T47" s="18" t="s">
        <v>460</v>
      </c>
      <c r="U47" s="37" t="s">
        <v>461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147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417</v>
      </c>
      <c r="D48" s="20" t="s">
        <v>418</v>
      </c>
      <c r="E48" s="20" t="s">
        <v>418</v>
      </c>
      <c r="F48" s="20" t="s">
        <v>462</v>
      </c>
      <c r="G48" s="20">
        <v>2026</v>
      </c>
      <c r="H48" s="20" t="s">
        <v>137</v>
      </c>
      <c r="I48" s="20" t="s">
        <v>138</v>
      </c>
      <c r="J48" s="20" t="s">
        <v>463</v>
      </c>
      <c r="K48" s="20"/>
      <c r="L48" s="20" t="s">
        <v>5</v>
      </c>
      <c r="M48" s="20" t="s">
        <v>140</v>
      </c>
      <c r="N48" s="14" t="s">
        <v>464</v>
      </c>
      <c r="O48" s="19"/>
      <c r="P48" s="14" t="s">
        <v>465</v>
      </c>
      <c r="Q48" s="14" t="s">
        <v>143</v>
      </c>
      <c r="R48" s="14" t="s">
        <v>144</v>
      </c>
      <c r="S48" s="14" t="s">
        <v>466</v>
      </c>
      <c r="T48" s="18" t="s">
        <v>467</v>
      </c>
      <c r="U48" s="37" t="s">
        <v>468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147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469</v>
      </c>
      <c r="E49" s="20" t="s">
        <v>469</v>
      </c>
      <c r="F49" s="20" t="s">
        <v>470</v>
      </c>
      <c r="G49" s="20">
        <v>2026</v>
      </c>
      <c r="H49" s="20" t="s">
        <v>137</v>
      </c>
      <c r="I49" s="20" t="s">
        <v>138</v>
      </c>
      <c r="J49" s="20" t="s">
        <v>471</v>
      </c>
      <c r="K49" s="20"/>
      <c r="L49" s="20" t="s">
        <v>4</v>
      </c>
      <c r="M49" s="20" t="s">
        <v>85</v>
      </c>
      <c r="N49" s="22" t="s">
        <v>472</v>
      </c>
      <c r="O49" s="19" t="s">
        <v>473</v>
      </c>
      <c r="P49" s="17" t="s">
        <v>474</v>
      </c>
      <c r="Q49" s="14" t="s">
        <v>224</v>
      </c>
      <c r="R49" s="14" t="s">
        <v>225</v>
      </c>
      <c r="S49" s="14">
        <v>3212818265</v>
      </c>
      <c r="T49" s="18">
        <v>3214550461</v>
      </c>
      <c r="U49" s="37" t="s">
        <v>475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147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469</v>
      </c>
      <c r="E50" s="20" t="s">
        <v>469</v>
      </c>
      <c r="F50" s="20" t="s">
        <v>476</v>
      </c>
      <c r="G50" s="20">
        <v>2026</v>
      </c>
      <c r="H50" s="20" t="s">
        <v>137</v>
      </c>
      <c r="I50" s="20" t="s">
        <v>138</v>
      </c>
      <c r="J50" s="20" t="s">
        <v>477</v>
      </c>
      <c r="K50" s="20"/>
      <c r="L50" s="20" t="s">
        <v>4</v>
      </c>
      <c r="M50" s="20" t="s">
        <v>85</v>
      </c>
      <c r="N50" s="22" t="s">
        <v>478</v>
      </c>
      <c r="O50" s="19" t="s">
        <v>473</v>
      </c>
      <c r="P50" s="17" t="s">
        <v>479</v>
      </c>
      <c r="Q50" s="14" t="s">
        <v>168</v>
      </c>
      <c r="R50" s="14" t="s">
        <v>480</v>
      </c>
      <c r="S50" s="14">
        <v>3144553626</v>
      </c>
      <c r="T50" s="18" t="s">
        <v>481</v>
      </c>
      <c r="U50" s="37" t="s">
        <v>482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147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469</v>
      </c>
      <c r="E51" s="20" t="s">
        <v>469</v>
      </c>
      <c r="F51" s="20" t="s">
        <v>483</v>
      </c>
      <c r="G51" s="20">
        <v>2026</v>
      </c>
      <c r="H51" s="20" t="s">
        <v>137</v>
      </c>
      <c r="I51" s="20" t="s">
        <v>138</v>
      </c>
      <c r="J51" s="20" t="s">
        <v>484</v>
      </c>
      <c r="K51" s="20"/>
      <c r="L51" s="20" t="s">
        <v>4</v>
      </c>
      <c r="M51" s="20" t="s">
        <v>85</v>
      </c>
      <c r="N51" s="22" t="s">
        <v>485</v>
      </c>
      <c r="O51" s="19" t="s">
        <v>473</v>
      </c>
      <c r="P51" s="17" t="s">
        <v>486</v>
      </c>
      <c r="Q51" s="14" t="s">
        <v>168</v>
      </c>
      <c r="R51" s="14" t="s">
        <v>480</v>
      </c>
      <c r="S51" s="14">
        <v>3118109385</v>
      </c>
      <c r="T51" s="18" t="s">
        <v>487</v>
      </c>
      <c r="U51" s="37" t="s">
        <v>488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147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489</v>
      </c>
      <c r="D52" s="20" t="s">
        <v>469</v>
      </c>
      <c r="E52" s="20" t="s">
        <v>469</v>
      </c>
      <c r="F52" s="20" t="s">
        <v>490</v>
      </c>
      <c r="G52" s="20">
        <v>2026</v>
      </c>
      <c r="H52" s="20" t="s">
        <v>137</v>
      </c>
      <c r="I52" s="20" t="s">
        <v>138</v>
      </c>
      <c r="J52" s="20" t="s">
        <v>491</v>
      </c>
      <c r="K52" s="20"/>
      <c r="L52" s="20" t="s">
        <v>4</v>
      </c>
      <c r="M52" s="20" t="s">
        <v>85</v>
      </c>
      <c r="N52" s="22"/>
      <c r="O52" s="19" t="s">
        <v>473</v>
      </c>
      <c r="P52" s="17" t="s">
        <v>492</v>
      </c>
      <c r="Q52" s="14" t="s">
        <v>143</v>
      </c>
      <c r="R52" s="14" t="s">
        <v>144</v>
      </c>
      <c r="S52" s="14" t="s">
        <v>493</v>
      </c>
      <c r="T52" s="18" t="s">
        <v>494</v>
      </c>
      <c r="U52" s="37" t="s">
        <v>495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147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180</v>
      </c>
      <c r="D53" s="20" t="s">
        <v>469</v>
      </c>
      <c r="E53" s="20" t="s">
        <v>469</v>
      </c>
      <c r="F53" s="20" t="s">
        <v>496</v>
      </c>
      <c r="G53" s="20">
        <v>2026</v>
      </c>
      <c r="H53" s="20" t="s">
        <v>137</v>
      </c>
      <c r="I53" s="20" t="s">
        <v>138</v>
      </c>
      <c r="J53" s="20" t="s">
        <v>497</v>
      </c>
      <c r="K53" s="20"/>
      <c r="L53" s="20" t="s">
        <v>6</v>
      </c>
      <c r="M53" s="20" t="s">
        <v>165</v>
      </c>
      <c r="N53" s="22" t="s">
        <v>498</v>
      </c>
      <c r="O53" s="19" t="s">
        <v>499</v>
      </c>
      <c r="P53" s="17" t="s">
        <v>500</v>
      </c>
      <c r="Q53" s="14" t="s">
        <v>143</v>
      </c>
      <c r="R53" s="14" t="s">
        <v>501</v>
      </c>
      <c r="S53" s="14">
        <v>3137456421</v>
      </c>
      <c r="T53" s="18" t="s">
        <v>325</v>
      </c>
      <c r="U53" s="37" t="s">
        <v>502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147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489</v>
      </c>
      <c r="D54" s="20" t="s">
        <v>469</v>
      </c>
      <c r="E54" s="20" t="s">
        <v>469</v>
      </c>
      <c r="F54" s="20" t="s">
        <v>503</v>
      </c>
      <c r="G54" s="20">
        <v>2026</v>
      </c>
      <c r="H54" s="20" t="s">
        <v>137</v>
      </c>
      <c r="I54" s="20" t="s">
        <v>138</v>
      </c>
      <c r="J54" s="20" t="s">
        <v>504</v>
      </c>
      <c r="K54" s="20"/>
      <c r="L54" s="20" t="s">
        <v>4</v>
      </c>
      <c r="M54" s="20" t="s">
        <v>85</v>
      </c>
      <c r="N54" s="22" t="s">
        <v>505</v>
      </c>
      <c r="O54" s="19" t="s">
        <v>473</v>
      </c>
      <c r="P54" s="17" t="s">
        <v>506</v>
      </c>
      <c r="Q54" s="14" t="s">
        <v>143</v>
      </c>
      <c r="R54" s="14" t="s">
        <v>144</v>
      </c>
      <c r="S54" s="14">
        <v>3213475722</v>
      </c>
      <c r="T54" s="18">
        <v>3057995626</v>
      </c>
      <c r="U54" s="37" t="s">
        <v>507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147</v>
      </c>
      <c r="AA54" t="s">
        <v>508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489</v>
      </c>
      <c r="D55" s="20" t="s">
        <v>469</v>
      </c>
      <c r="E55" s="20" t="s">
        <v>469</v>
      </c>
      <c r="F55" s="20" t="s">
        <v>509</v>
      </c>
      <c r="G55" s="20">
        <v>2026</v>
      </c>
      <c r="H55" s="20" t="s">
        <v>137</v>
      </c>
      <c r="I55" s="20" t="s">
        <v>138</v>
      </c>
      <c r="J55" s="20" t="s">
        <v>510</v>
      </c>
      <c r="K55" s="20"/>
      <c r="L55" s="20" t="s">
        <v>4</v>
      </c>
      <c r="M55" s="20" t="s">
        <v>85</v>
      </c>
      <c r="N55" s="22" t="s">
        <v>511</v>
      </c>
      <c r="O55" s="19" t="s">
        <v>473</v>
      </c>
      <c r="P55" s="17" t="s">
        <v>512</v>
      </c>
      <c r="Q55" s="14" t="s">
        <v>224</v>
      </c>
      <c r="R55" s="14" t="s">
        <v>225</v>
      </c>
      <c r="S55" s="14">
        <v>3143704135</v>
      </c>
      <c r="T55" s="18" t="s">
        <v>513</v>
      </c>
      <c r="U55" s="37" t="s">
        <v>514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147</v>
      </c>
      <c r="AA55" t="s">
        <v>515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489</v>
      </c>
      <c r="D56" s="20" t="s">
        <v>469</v>
      </c>
      <c r="E56" s="20" t="s">
        <v>469</v>
      </c>
      <c r="F56" s="20" t="s">
        <v>516</v>
      </c>
      <c r="G56" s="20">
        <v>2026</v>
      </c>
      <c r="H56" s="20" t="s">
        <v>137</v>
      </c>
      <c r="I56" s="20" t="s">
        <v>138</v>
      </c>
      <c r="J56" s="20" t="s">
        <v>517</v>
      </c>
      <c r="K56" s="20"/>
      <c r="L56" s="20" t="s">
        <v>4</v>
      </c>
      <c r="M56" s="20" t="s">
        <v>85</v>
      </c>
      <c r="N56" s="22" t="s">
        <v>518</v>
      </c>
      <c r="O56" s="19" t="s">
        <v>519</v>
      </c>
      <c r="P56" s="17" t="s">
        <v>520</v>
      </c>
      <c r="Q56" s="14" t="s">
        <v>224</v>
      </c>
      <c r="R56" s="14" t="s">
        <v>225</v>
      </c>
      <c r="S56" s="14">
        <v>3154965337</v>
      </c>
      <c r="T56" s="18" t="s">
        <v>513</v>
      </c>
      <c r="U56" s="37" t="s">
        <v>521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147</v>
      </c>
      <c r="AA56" t="s">
        <v>522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469</v>
      </c>
      <c r="E57" s="20" t="s">
        <v>469</v>
      </c>
      <c r="F57" s="20" t="s">
        <v>523</v>
      </c>
      <c r="G57" s="20">
        <v>2026</v>
      </c>
      <c r="H57" s="20" t="s">
        <v>137</v>
      </c>
      <c r="I57" s="20" t="s">
        <v>138</v>
      </c>
      <c r="J57" s="20" t="s">
        <v>524</v>
      </c>
      <c r="K57" s="20"/>
      <c r="L57" s="20" t="s">
        <v>4</v>
      </c>
      <c r="M57" s="20" t="s">
        <v>85</v>
      </c>
      <c r="N57" s="22" t="s">
        <v>525</v>
      </c>
      <c r="O57" s="19" t="s">
        <v>473</v>
      </c>
      <c r="P57" s="17" t="s">
        <v>526</v>
      </c>
      <c r="Q57" s="14" t="s">
        <v>224</v>
      </c>
      <c r="R57" s="14" t="s">
        <v>225</v>
      </c>
      <c r="S57" s="14">
        <v>3132969330</v>
      </c>
      <c r="T57" s="18" t="s">
        <v>527</v>
      </c>
      <c r="U57" s="37" t="s">
        <v>528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147</v>
      </c>
      <c r="AA57" t="s">
        <v>529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162</v>
      </c>
      <c r="D58" s="20" t="s">
        <v>530</v>
      </c>
      <c r="E58" s="20" t="s">
        <v>530</v>
      </c>
      <c r="F58" s="20" t="s">
        <v>531</v>
      </c>
      <c r="G58" s="20">
        <v>2026</v>
      </c>
      <c r="H58" s="20" t="s">
        <v>137</v>
      </c>
      <c r="I58" s="20" t="s">
        <v>138</v>
      </c>
      <c r="J58" s="20" t="s">
        <v>532</v>
      </c>
      <c r="K58" s="20"/>
      <c r="L58" s="20" t="s">
        <v>6</v>
      </c>
      <c r="M58" s="20" t="s">
        <v>165</v>
      </c>
      <c r="N58" s="22" t="s">
        <v>533</v>
      </c>
      <c r="O58" s="19" t="s">
        <v>499</v>
      </c>
      <c r="P58" s="17" t="s">
        <v>534</v>
      </c>
      <c r="Q58" s="14" t="s">
        <v>168</v>
      </c>
      <c r="R58" s="14" t="s">
        <v>535</v>
      </c>
      <c r="S58" s="14" t="s">
        <v>536</v>
      </c>
      <c r="T58" s="18" t="s">
        <v>537</v>
      </c>
      <c r="U58" s="37" t="s">
        <v>538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255</v>
      </c>
      <c r="AA58" t="s">
        <v>539</v>
      </c>
      <c r="AC58" t="s">
        <v>540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541</v>
      </c>
      <c r="D59" s="20" t="s">
        <v>530</v>
      </c>
      <c r="E59" s="20" t="s">
        <v>530</v>
      </c>
      <c r="F59" s="20" t="s">
        <v>542</v>
      </c>
      <c r="G59" s="20">
        <v>2026</v>
      </c>
      <c r="H59" s="20" t="s">
        <v>137</v>
      </c>
      <c r="I59" s="20" t="s">
        <v>138</v>
      </c>
      <c r="J59" s="20" t="s">
        <v>543</v>
      </c>
      <c r="K59" s="20" t="s">
        <v>544</v>
      </c>
      <c r="L59" s="20" t="s">
        <v>4</v>
      </c>
      <c r="M59" s="20" t="s">
        <v>85</v>
      </c>
      <c r="N59" s="22" t="s">
        <v>545</v>
      </c>
      <c r="O59" s="19" t="s">
        <v>473</v>
      </c>
      <c r="P59" s="17" t="s">
        <v>546</v>
      </c>
      <c r="Q59" s="14" t="s">
        <v>168</v>
      </c>
      <c r="R59" s="14" t="s">
        <v>480</v>
      </c>
      <c r="S59" s="14">
        <v>3214903514</v>
      </c>
      <c r="T59" s="18" t="s">
        <v>547</v>
      </c>
      <c r="U59" s="37" t="s">
        <v>548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147</v>
      </c>
      <c r="AA59" t="s">
        <v>549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530</v>
      </c>
      <c r="E60" s="20" t="s">
        <v>530</v>
      </c>
      <c r="F60" s="20" t="s">
        <v>550</v>
      </c>
      <c r="G60" s="20">
        <v>2026</v>
      </c>
      <c r="H60" s="20" t="s">
        <v>137</v>
      </c>
      <c r="I60" s="20" t="s">
        <v>138</v>
      </c>
      <c r="J60" s="20" t="s">
        <v>551</v>
      </c>
      <c r="K60" s="20"/>
      <c r="L60" s="20" t="s">
        <v>4</v>
      </c>
      <c r="M60" s="20" t="s">
        <v>85</v>
      </c>
      <c r="N60" s="22"/>
      <c r="O60" s="19" t="s">
        <v>519</v>
      </c>
      <c r="P60" s="17" t="s">
        <v>552</v>
      </c>
      <c r="Q60" s="14" t="s">
        <v>168</v>
      </c>
      <c r="R60" s="14" t="s">
        <v>193</v>
      </c>
      <c r="S60" s="14">
        <v>3175022222</v>
      </c>
      <c r="T60" s="18">
        <v>3153522582</v>
      </c>
      <c r="U60" s="37" t="s">
        <v>553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147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554</v>
      </c>
      <c r="D61" s="20" t="s">
        <v>530</v>
      </c>
      <c r="E61" s="20" t="s">
        <v>530</v>
      </c>
      <c r="F61" s="20" t="s">
        <v>555</v>
      </c>
      <c r="G61" s="20">
        <v>2026</v>
      </c>
      <c r="H61" s="20" t="s">
        <v>137</v>
      </c>
      <c r="I61" s="20" t="s">
        <v>138</v>
      </c>
      <c r="J61" s="20" t="s">
        <v>556</v>
      </c>
      <c r="K61" s="20" t="s">
        <v>557</v>
      </c>
      <c r="L61" s="20" t="s">
        <v>4</v>
      </c>
      <c r="M61" s="20" t="s">
        <v>85</v>
      </c>
      <c r="N61" s="22" t="s">
        <v>558</v>
      </c>
      <c r="O61" s="19" t="s">
        <v>519</v>
      </c>
      <c r="P61" s="17" t="s">
        <v>559</v>
      </c>
      <c r="Q61" s="14" t="s">
        <v>143</v>
      </c>
      <c r="R61" s="14" t="s">
        <v>144</v>
      </c>
      <c r="S61" s="14">
        <v>3186280302</v>
      </c>
      <c r="T61" s="18" t="s">
        <v>560</v>
      </c>
      <c r="U61" s="37" t="s">
        <v>561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147</v>
      </c>
      <c r="AA61" t="s">
        <v>562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134</v>
      </c>
      <c r="D62" s="20" t="s">
        <v>530</v>
      </c>
      <c r="E62" s="20" t="s">
        <v>530</v>
      </c>
      <c r="F62" s="20" t="s">
        <v>563</v>
      </c>
      <c r="G62" s="20">
        <v>2026</v>
      </c>
      <c r="H62" s="20" t="s">
        <v>137</v>
      </c>
      <c r="I62" s="20" t="s">
        <v>138</v>
      </c>
      <c r="J62" s="20" t="s">
        <v>139</v>
      </c>
      <c r="K62" s="20" t="s">
        <v>564</v>
      </c>
      <c r="L62" s="20" t="s">
        <v>5</v>
      </c>
      <c r="M62" s="20" t="s">
        <v>140</v>
      </c>
      <c r="N62" s="22" t="s">
        <v>565</v>
      </c>
      <c r="O62" s="19" t="s">
        <v>566</v>
      </c>
      <c r="P62" s="17" t="s">
        <v>567</v>
      </c>
      <c r="Q62" s="14" t="s">
        <v>143</v>
      </c>
      <c r="R62" s="14" t="s">
        <v>144</v>
      </c>
      <c r="S62" s="14">
        <v>3202129355</v>
      </c>
      <c r="T62" s="18">
        <v>3202129355</v>
      </c>
      <c r="U62" s="37" t="s">
        <v>568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147</v>
      </c>
      <c r="AA62" t="s">
        <v>569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570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530</v>
      </c>
      <c r="E63" s="20" t="s">
        <v>530</v>
      </c>
      <c r="F63" s="20" t="s">
        <v>571</v>
      </c>
      <c r="G63" s="20">
        <v>2026</v>
      </c>
      <c r="H63" s="20" t="s">
        <v>137</v>
      </c>
      <c r="I63" s="20" t="s">
        <v>138</v>
      </c>
      <c r="J63" s="20" t="s">
        <v>572</v>
      </c>
      <c r="K63" s="20"/>
      <c r="L63" s="20" t="s">
        <v>4</v>
      </c>
      <c r="M63" s="20" t="s">
        <v>85</v>
      </c>
      <c r="N63" s="22"/>
      <c r="O63" s="19" t="s">
        <v>519</v>
      </c>
      <c r="P63" s="17" t="s">
        <v>573</v>
      </c>
      <c r="Q63" s="14" t="s">
        <v>224</v>
      </c>
      <c r="R63" s="14" t="s">
        <v>225</v>
      </c>
      <c r="S63" s="14">
        <v>3503394887</v>
      </c>
      <c r="T63" s="18">
        <v>3503394887</v>
      </c>
      <c r="U63" s="37" t="s">
        <v>574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147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433</v>
      </c>
      <c r="D64" s="20" t="s">
        <v>575</v>
      </c>
      <c r="E64" s="20" t="s">
        <v>575</v>
      </c>
      <c r="F64" s="20" t="s">
        <v>576</v>
      </c>
      <c r="G64" s="20">
        <v>2026</v>
      </c>
      <c r="H64" s="20" t="s">
        <v>137</v>
      </c>
      <c r="I64" s="20" t="s">
        <v>138</v>
      </c>
      <c r="J64" s="20" t="s">
        <v>577</v>
      </c>
      <c r="K64" s="20"/>
      <c r="L64" s="20" t="s">
        <v>4</v>
      </c>
      <c r="M64" s="20" t="s">
        <v>85</v>
      </c>
      <c r="N64" s="22" t="s">
        <v>578</v>
      </c>
      <c r="O64" s="19" t="s">
        <v>519</v>
      </c>
      <c r="P64" s="17" t="s">
        <v>579</v>
      </c>
      <c r="Q64" s="14" t="s">
        <v>143</v>
      </c>
      <c r="R64" s="14" t="s">
        <v>144</v>
      </c>
      <c r="S64" s="14" t="s">
        <v>580</v>
      </c>
      <c r="T64" s="18" t="s">
        <v>363</v>
      </c>
      <c r="U64" s="37" t="s">
        <v>581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147</v>
      </c>
      <c r="AA64" t="s">
        <v>582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583</v>
      </c>
      <c r="D65" s="20" t="s">
        <v>575</v>
      </c>
      <c r="E65" s="20" t="s">
        <v>575</v>
      </c>
      <c r="F65" s="20" t="s">
        <v>584</v>
      </c>
      <c r="G65" s="20">
        <v>2026</v>
      </c>
      <c r="H65" s="20" t="s">
        <v>137</v>
      </c>
      <c r="I65" s="20" t="s">
        <v>138</v>
      </c>
      <c r="J65" s="20" t="s">
        <v>585</v>
      </c>
      <c r="K65" s="20" t="s">
        <v>586</v>
      </c>
      <c r="L65" s="20" t="s">
        <v>6</v>
      </c>
      <c r="M65" s="20" t="s">
        <v>83</v>
      </c>
      <c r="N65" s="22"/>
      <c r="O65" s="19" t="s">
        <v>499</v>
      </c>
      <c r="P65" s="17" t="s">
        <v>587</v>
      </c>
      <c r="Q65" s="14" t="s">
        <v>143</v>
      </c>
      <c r="R65" s="14" t="s">
        <v>144</v>
      </c>
      <c r="S65" s="14">
        <v>3133263867</v>
      </c>
      <c r="T65" s="18" t="s">
        <v>460</v>
      </c>
      <c r="U65" s="37" t="s">
        <v>588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147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541</v>
      </c>
      <c r="D66" s="20" t="s">
        <v>575</v>
      </c>
      <c r="E66" s="20" t="s">
        <v>575</v>
      </c>
      <c r="F66" s="20" t="s">
        <v>589</v>
      </c>
      <c r="G66" s="20">
        <v>2026</v>
      </c>
      <c r="H66" s="20" t="s">
        <v>137</v>
      </c>
      <c r="I66" s="20" t="s">
        <v>138</v>
      </c>
      <c r="J66" s="20" t="s">
        <v>590</v>
      </c>
      <c r="K66" s="20"/>
      <c r="L66" s="20" t="s">
        <v>4</v>
      </c>
      <c r="M66" s="20" t="s">
        <v>85</v>
      </c>
      <c r="N66" s="22" t="s">
        <v>591</v>
      </c>
      <c r="O66" s="19" t="s">
        <v>473</v>
      </c>
      <c r="P66" s="17" t="s">
        <v>592</v>
      </c>
      <c r="Q66" s="14" t="s">
        <v>224</v>
      </c>
      <c r="R66" s="14" t="s">
        <v>225</v>
      </c>
      <c r="S66" s="14" t="s">
        <v>593</v>
      </c>
      <c r="T66" s="18" t="s">
        <v>594</v>
      </c>
      <c r="U66" s="37" t="s">
        <v>595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147</v>
      </c>
      <c r="AA66" t="s">
        <v>596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597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137</v>
      </c>
      <c r="I67" s="18" t="s">
        <v>138</v>
      </c>
      <c r="J67" s="21" t="s">
        <v>598</v>
      </c>
      <c r="K67" s="22"/>
      <c r="L67" s="19" t="s">
        <v>6</v>
      </c>
      <c r="M67" s="18" t="s">
        <v>165</v>
      </c>
      <c r="N67" s="22" t="s">
        <v>599</v>
      </c>
      <c r="O67" s="22" t="s">
        <v>499</v>
      </c>
      <c r="P67" s="17" t="s">
        <v>600</v>
      </c>
      <c r="Q67" s="22" t="s">
        <v>143</v>
      </c>
      <c r="R67" s="14" t="s">
        <v>144</v>
      </c>
      <c r="S67" s="26">
        <v>3024234177</v>
      </c>
      <c r="T67" s="34">
        <v>3024234177</v>
      </c>
      <c r="U67" s="37" t="s">
        <v>601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147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602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137</v>
      </c>
      <c r="I68" s="18" t="s">
        <v>138</v>
      </c>
      <c r="J68" s="21" t="s">
        <v>603</v>
      </c>
      <c r="K68" s="22"/>
      <c r="L68" s="19" t="s">
        <v>6</v>
      </c>
      <c r="M68" s="18" t="s">
        <v>165</v>
      </c>
      <c r="N68" s="22"/>
      <c r="O68" s="22" t="s">
        <v>499</v>
      </c>
      <c r="P68" s="17" t="s">
        <v>604</v>
      </c>
      <c r="Q68" s="22" t="s">
        <v>605</v>
      </c>
      <c r="R68" s="14" t="s">
        <v>480</v>
      </c>
      <c r="S68" s="26" t="s">
        <v>606</v>
      </c>
      <c r="T68" s="34" t="s">
        <v>607</v>
      </c>
      <c r="U68" s="37" t="s">
        <v>608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147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433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137</v>
      </c>
      <c r="I69" s="18" t="s">
        <v>138</v>
      </c>
      <c r="J69" s="21" t="s">
        <v>609</v>
      </c>
      <c r="K69" s="22"/>
      <c r="L69" s="19" t="s">
        <v>4</v>
      </c>
      <c r="M69" s="18" t="s">
        <v>85</v>
      </c>
      <c r="N69" s="22"/>
      <c r="O69" s="22" t="s">
        <v>519</v>
      </c>
      <c r="P69" s="17" t="s">
        <v>610</v>
      </c>
      <c r="Q69" s="22" t="s">
        <v>224</v>
      </c>
      <c r="R69" s="14" t="s">
        <v>225</v>
      </c>
      <c r="S69" s="26">
        <v>3024817872</v>
      </c>
      <c r="T69" s="34" t="s">
        <v>487</v>
      </c>
      <c r="U69" s="37" t="s">
        <v>611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147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612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137</v>
      </c>
      <c r="I70" s="18" t="s">
        <v>138</v>
      </c>
      <c r="J70" s="21" t="s">
        <v>613</v>
      </c>
      <c r="K70" s="22"/>
      <c r="L70" s="19" t="s">
        <v>4</v>
      </c>
      <c r="M70" s="18" t="s">
        <v>85</v>
      </c>
      <c r="N70" s="22"/>
      <c r="O70" s="22" t="s">
        <v>473</v>
      </c>
      <c r="P70" s="17" t="s">
        <v>614</v>
      </c>
      <c r="Q70" s="22" t="s">
        <v>143</v>
      </c>
      <c r="R70" s="14" t="s">
        <v>144</v>
      </c>
      <c r="S70" s="26">
        <v>3114910947</v>
      </c>
      <c r="T70" s="34" t="s">
        <v>453</v>
      </c>
      <c r="U70" s="37" t="s">
        <v>615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255</v>
      </c>
      <c r="AC70" t="s">
        <v>616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137</v>
      </c>
      <c r="I71" s="18" t="s">
        <v>138</v>
      </c>
      <c r="J71" s="21" t="s">
        <v>617</v>
      </c>
      <c r="K71" s="22"/>
      <c r="L71" s="19" t="s">
        <v>4</v>
      </c>
      <c r="M71" s="18" t="s">
        <v>85</v>
      </c>
      <c r="N71" s="22" t="s">
        <v>618</v>
      </c>
      <c r="O71" s="22" t="s">
        <v>473</v>
      </c>
      <c r="P71" s="17" t="s">
        <v>619</v>
      </c>
      <c r="Q71" s="22" t="s">
        <v>224</v>
      </c>
      <c r="R71" s="14" t="s">
        <v>144</v>
      </c>
      <c r="S71" s="26">
        <v>3142715094</v>
      </c>
      <c r="T71" s="34" t="s">
        <v>453</v>
      </c>
      <c r="U71" s="37" t="s">
        <v>620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147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612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137</v>
      </c>
      <c r="I72" s="18" t="s">
        <v>138</v>
      </c>
      <c r="J72" s="21" t="s">
        <v>621</v>
      </c>
      <c r="K72" s="22"/>
      <c r="L72" s="19" t="s">
        <v>4</v>
      </c>
      <c r="M72" s="18" t="s">
        <v>85</v>
      </c>
      <c r="N72" s="22"/>
      <c r="O72" s="22" t="s">
        <v>473</v>
      </c>
      <c r="P72" s="17" t="s">
        <v>622</v>
      </c>
      <c r="Q72" s="22" t="s">
        <v>143</v>
      </c>
      <c r="R72" s="14" t="s">
        <v>144</v>
      </c>
      <c r="S72" s="26" t="s">
        <v>623</v>
      </c>
      <c r="T72" s="34" t="s">
        <v>453</v>
      </c>
      <c r="U72" s="37" t="s">
        <v>624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147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137</v>
      </c>
      <c r="I73" s="18" t="s">
        <v>138</v>
      </c>
      <c r="J73" s="21" t="s">
        <v>625</v>
      </c>
      <c r="K73" s="22"/>
      <c r="L73" s="19" t="s">
        <v>4</v>
      </c>
      <c r="M73" s="18" t="s">
        <v>85</v>
      </c>
      <c r="N73" s="22"/>
      <c r="O73" s="22" t="s">
        <v>473</v>
      </c>
      <c r="P73" s="17" t="s">
        <v>626</v>
      </c>
      <c r="Q73" s="22" t="s">
        <v>224</v>
      </c>
      <c r="R73" s="14" t="s">
        <v>225</v>
      </c>
      <c r="S73" s="26" t="s">
        <v>627</v>
      </c>
      <c r="T73" s="34" t="s">
        <v>628</v>
      </c>
      <c r="U73" s="37" t="s">
        <v>629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147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630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137</v>
      </c>
      <c r="I74" s="18" t="s">
        <v>138</v>
      </c>
      <c r="J74" s="21" t="s">
        <v>631</v>
      </c>
      <c r="K74" s="22"/>
      <c r="L74" s="19" t="s">
        <v>4</v>
      </c>
      <c r="M74" s="18" t="s">
        <v>85</v>
      </c>
      <c r="N74" s="22"/>
      <c r="O74" s="22" t="s">
        <v>519</v>
      </c>
      <c r="P74" s="17" t="s">
        <v>632</v>
      </c>
      <c r="Q74" s="22" t="s">
        <v>224</v>
      </c>
      <c r="R74" s="14" t="s">
        <v>193</v>
      </c>
      <c r="S74" s="26" t="s">
        <v>633</v>
      </c>
      <c r="T74" s="34" t="s">
        <v>634</v>
      </c>
      <c r="U74" s="37" t="s">
        <v>635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147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612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137</v>
      </c>
      <c r="I75" s="18" t="s">
        <v>138</v>
      </c>
      <c r="J75" s="21" t="s">
        <v>636</v>
      </c>
      <c r="K75" s="22"/>
      <c r="L75" s="19" t="s">
        <v>4</v>
      </c>
      <c r="M75" s="18" t="s">
        <v>85</v>
      </c>
      <c r="N75" s="22"/>
      <c r="O75" s="22" t="s">
        <v>473</v>
      </c>
      <c r="P75" s="17" t="s">
        <v>637</v>
      </c>
      <c r="Q75" s="22" t="s">
        <v>143</v>
      </c>
      <c r="R75" s="14" t="s">
        <v>144</v>
      </c>
      <c r="S75" s="26">
        <v>3105726862</v>
      </c>
      <c r="T75" s="34" t="s">
        <v>453</v>
      </c>
      <c r="U75" s="37" t="s">
        <v>638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147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433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137</v>
      </c>
      <c r="I76" s="18" t="s">
        <v>138</v>
      </c>
      <c r="J76" s="21" t="s">
        <v>639</v>
      </c>
      <c r="K76" s="22" t="s">
        <v>640</v>
      </c>
      <c r="L76" s="19" t="s">
        <v>4</v>
      </c>
      <c r="M76" s="18" t="s">
        <v>85</v>
      </c>
      <c r="N76" s="22" t="s">
        <v>641</v>
      </c>
      <c r="O76" s="22" t="s">
        <v>519</v>
      </c>
      <c r="P76" s="17" t="s">
        <v>642</v>
      </c>
      <c r="Q76" s="22" t="s">
        <v>143</v>
      </c>
      <c r="R76" s="14" t="s">
        <v>144</v>
      </c>
      <c r="S76" s="26">
        <v>3154720372</v>
      </c>
      <c r="T76" s="34" t="s">
        <v>643</v>
      </c>
      <c r="U76" s="37" t="s">
        <v>644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147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433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137</v>
      </c>
      <c r="I77" s="18" t="s">
        <v>138</v>
      </c>
      <c r="J77" s="21" t="s">
        <v>645</v>
      </c>
      <c r="K77" s="22"/>
      <c r="L77" s="19" t="s">
        <v>4</v>
      </c>
      <c r="M77" s="18" t="s">
        <v>85</v>
      </c>
      <c r="N77" s="22" t="s">
        <v>646</v>
      </c>
      <c r="O77" s="22" t="s">
        <v>519</v>
      </c>
      <c r="P77" s="17" t="s">
        <v>647</v>
      </c>
      <c r="Q77" s="22" t="s">
        <v>224</v>
      </c>
      <c r="R77" s="14" t="s">
        <v>501</v>
      </c>
      <c r="S77" s="26">
        <v>3142935162</v>
      </c>
      <c r="T77" s="34" t="s">
        <v>363</v>
      </c>
      <c r="U77" s="37" t="s">
        <v>648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147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137</v>
      </c>
      <c r="I78" s="18" t="s">
        <v>138</v>
      </c>
      <c r="J78" s="21" t="s">
        <v>649</v>
      </c>
      <c r="K78" s="22"/>
      <c r="L78" s="19" t="s">
        <v>4</v>
      </c>
      <c r="M78" s="18" t="s">
        <v>85</v>
      </c>
      <c r="N78" s="22"/>
      <c r="O78" s="22" t="s">
        <v>519</v>
      </c>
      <c r="P78" s="17" t="s">
        <v>650</v>
      </c>
      <c r="Q78" s="22" t="s">
        <v>224</v>
      </c>
      <c r="R78" s="14" t="s">
        <v>144</v>
      </c>
      <c r="S78" s="26">
        <v>3115734621</v>
      </c>
      <c r="T78" s="34">
        <v>3115734621</v>
      </c>
      <c r="U78" s="37" t="s">
        <v>651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147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612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137</v>
      </c>
      <c r="I79" s="18" t="s">
        <v>138</v>
      </c>
      <c r="J79" s="21" t="s">
        <v>652</v>
      </c>
      <c r="K79" s="22"/>
      <c r="L79" s="19" t="s">
        <v>5</v>
      </c>
      <c r="M79" s="18" t="s">
        <v>96</v>
      </c>
      <c r="N79" s="22" t="s">
        <v>653</v>
      </c>
      <c r="O79" s="22" t="s">
        <v>499</v>
      </c>
      <c r="P79" s="17" t="s">
        <v>654</v>
      </c>
      <c r="Q79" s="22" t="s">
        <v>605</v>
      </c>
      <c r="R79" s="14" t="s">
        <v>176</v>
      </c>
      <c r="S79" s="26">
        <v>3184196150</v>
      </c>
      <c r="T79" s="34" t="s">
        <v>453</v>
      </c>
      <c r="U79" s="37" t="s">
        <v>655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147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656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137</v>
      </c>
      <c r="I80" s="18" t="s">
        <v>138</v>
      </c>
      <c r="J80" s="21" t="s">
        <v>657</v>
      </c>
      <c r="K80" s="22" t="s">
        <v>658</v>
      </c>
      <c r="L80" s="19" t="s">
        <v>4</v>
      </c>
      <c r="M80" s="18" t="s">
        <v>85</v>
      </c>
      <c r="N80" s="22" t="s">
        <v>659</v>
      </c>
      <c r="O80" s="22" t="s">
        <v>519</v>
      </c>
      <c r="P80" s="17" t="s">
        <v>660</v>
      </c>
      <c r="Q80" s="22" t="s">
        <v>143</v>
      </c>
      <c r="R80" s="14" t="s">
        <v>144</v>
      </c>
      <c r="S80" s="26">
        <v>3142980570</v>
      </c>
      <c r="T80" s="34" t="s">
        <v>453</v>
      </c>
      <c r="U80" s="37" t="s">
        <v>661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147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662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137</v>
      </c>
      <c r="I81" s="18" t="s">
        <v>138</v>
      </c>
      <c r="J81" s="21" t="s">
        <v>663</v>
      </c>
      <c r="K81" s="22"/>
      <c r="L81" s="19" t="s">
        <v>6</v>
      </c>
      <c r="M81" s="18" t="s">
        <v>96</v>
      </c>
      <c r="N81" s="22" t="s">
        <v>664</v>
      </c>
      <c r="O81" s="22" t="s">
        <v>499</v>
      </c>
      <c r="P81" s="17" t="s">
        <v>665</v>
      </c>
      <c r="Q81" s="22" t="s">
        <v>143</v>
      </c>
      <c r="R81" s="14" t="s">
        <v>225</v>
      </c>
      <c r="S81" s="26">
        <v>3214953993</v>
      </c>
      <c r="T81" s="34"/>
      <c r="U81" s="37" t="s">
        <v>666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147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433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137</v>
      </c>
      <c r="I82" s="18" t="s">
        <v>138</v>
      </c>
      <c r="J82" s="21" t="s">
        <v>667</v>
      </c>
      <c r="K82" s="22"/>
      <c r="L82" s="19" t="s">
        <v>4</v>
      </c>
      <c r="M82" s="18" t="s">
        <v>85</v>
      </c>
      <c r="N82" s="22" t="s">
        <v>668</v>
      </c>
      <c r="O82" s="22" t="s">
        <v>519</v>
      </c>
      <c r="P82" s="17" t="s">
        <v>669</v>
      </c>
      <c r="Q82" s="22" t="s">
        <v>605</v>
      </c>
      <c r="R82" s="14" t="s">
        <v>480</v>
      </c>
      <c r="S82" s="26">
        <v>3176427845</v>
      </c>
      <c r="T82" s="34" t="s">
        <v>487</v>
      </c>
      <c r="U82" s="37" t="s">
        <v>670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147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671</v>
      </c>
    </row>
    <row r="83" spans="1:40" ht="29.1">
      <c r="A83" s="14">
        <v>3690583</v>
      </c>
      <c r="B83" s="14" t="s">
        <v>67</v>
      </c>
      <c r="C83" s="14" t="s">
        <v>433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137</v>
      </c>
      <c r="I83" s="18" t="s">
        <v>138</v>
      </c>
      <c r="J83" s="21" t="s">
        <v>672</v>
      </c>
      <c r="K83" s="22"/>
      <c r="L83" s="19" t="s">
        <v>4</v>
      </c>
      <c r="M83" s="18" t="s">
        <v>85</v>
      </c>
      <c r="N83" s="22" t="s">
        <v>673</v>
      </c>
      <c r="O83" s="22" t="s">
        <v>519</v>
      </c>
      <c r="P83" s="17" t="s">
        <v>674</v>
      </c>
      <c r="Q83" s="22" t="s">
        <v>143</v>
      </c>
      <c r="R83" s="14" t="s">
        <v>144</v>
      </c>
      <c r="S83" s="26">
        <v>3125357136</v>
      </c>
      <c r="T83" s="34" t="s">
        <v>487</v>
      </c>
      <c r="U83" s="37" t="s">
        <v>675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147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433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137</v>
      </c>
      <c r="I84" s="18" t="s">
        <v>138</v>
      </c>
      <c r="J84" s="21" t="s">
        <v>676</v>
      </c>
      <c r="K84" s="22"/>
      <c r="L84" s="19" t="s">
        <v>4</v>
      </c>
      <c r="M84" s="18" t="s">
        <v>85</v>
      </c>
      <c r="N84" s="22" t="s">
        <v>677</v>
      </c>
      <c r="O84" s="22" t="s">
        <v>519</v>
      </c>
      <c r="P84" s="17" t="s">
        <v>678</v>
      </c>
      <c r="Q84" s="22" t="s">
        <v>224</v>
      </c>
      <c r="R84" s="14" t="s">
        <v>225</v>
      </c>
      <c r="S84" s="26">
        <v>3118918691</v>
      </c>
      <c r="T84" s="34" t="s">
        <v>487</v>
      </c>
      <c r="U84" s="37" t="s">
        <v>679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147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425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137</v>
      </c>
      <c r="I85" s="18" t="s">
        <v>138</v>
      </c>
      <c r="J85" s="21" t="s">
        <v>680</v>
      </c>
      <c r="K85" s="22"/>
      <c r="L85" s="19" t="s">
        <v>6</v>
      </c>
      <c r="M85" s="18" t="s">
        <v>96</v>
      </c>
      <c r="N85" s="22" t="s">
        <v>681</v>
      </c>
      <c r="O85" s="22" t="s">
        <v>499</v>
      </c>
      <c r="P85" s="17" t="s">
        <v>682</v>
      </c>
      <c r="Q85" s="22" t="s">
        <v>143</v>
      </c>
      <c r="R85" s="14" t="s">
        <v>144</v>
      </c>
      <c r="S85" s="26">
        <v>3178928902</v>
      </c>
      <c r="T85" s="34" t="s">
        <v>683</v>
      </c>
      <c r="U85" s="37" t="s">
        <v>684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147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425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137</v>
      </c>
      <c r="I86" s="18" t="s">
        <v>138</v>
      </c>
      <c r="J86" s="21" t="s">
        <v>685</v>
      </c>
      <c r="K86" s="22"/>
      <c r="L86" s="19" t="s">
        <v>6</v>
      </c>
      <c r="M86" s="18" t="s">
        <v>96</v>
      </c>
      <c r="N86" s="22" t="s">
        <v>686</v>
      </c>
      <c r="O86" s="22" t="s">
        <v>499</v>
      </c>
      <c r="P86" s="17" t="s">
        <v>687</v>
      </c>
      <c r="Q86" s="22" t="s">
        <v>224</v>
      </c>
      <c r="R86" s="14" t="s">
        <v>225</v>
      </c>
      <c r="S86" s="26" t="s">
        <v>688</v>
      </c>
      <c r="T86" s="34" t="s">
        <v>689</v>
      </c>
      <c r="U86" s="37" t="s">
        <v>690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147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425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137</v>
      </c>
      <c r="I87" s="18" t="s">
        <v>138</v>
      </c>
      <c r="J87" s="21" t="s">
        <v>691</v>
      </c>
      <c r="K87" s="22"/>
      <c r="L87" s="19" t="s">
        <v>6</v>
      </c>
      <c r="M87" s="18" t="s">
        <v>96</v>
      </c>
      <c r="N87" s="22" t="s">
        <v>692</v>
      </c>
      <c r="O87" s="22" t="s">
        <v>499</v>
      </c>
      <c r="P87" s="17" t="s">
        <v>693</v>
      </c>
      <c r="Q87" s="22" t="s">
        <v>224</v>
      </c>
      <c r="R87" s="14" t="s">
        <v>225</v>
      </c>
      <c r="S87" s="26" t="s">
        <v>694</v>
      </c>
      <c r="T87" s="34" t="s">
        <v>487</v>
      </c>
      <c r="U87" s="37" t="s">
        <v>695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147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425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137</v>
      </c>
      <c r="I88" s="18" t="s">
        <v>138</v>
      </c>
      <c r="J88" s="21" t="s">
        <v>696</v>
      </c>
      <c r="K88" s="22"/>
      <c r="L88" s="19" t="s">
        <v>6</v>
      </c>
      <c r="M88" s="18" t="s">
        <v>165</v>
      </c>
      <c r="N88" s="22" t="s">
        <v>697</v>
      </c>
      <c r="O88" s="22" t="s">
        <v>499</v>
      </c>
      <c r="P88" s="17" t="s">
        <v>698</v>
      </c>
      <c r="Q88" s="22" t="s">
        <v>143</v>
      </c>
      <c r="R88" s="14" t="s">
        <v>144</v>
      </c>
      <c r="S88" s="26">
        <v>3105050992</v>
      </c>
      <c r="T88" s="34" t="s">
        <v>487</v>
      </c>
      <c r="U88" s="37" t="s">
        <v>699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147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597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137</v>
      </c>
      <c r="I89" s="18" t="s">
        <v>138</v>
      </c>
      <c r="J89" s="21" t="s">
        <v>700</v>
      </c>
      <c r="K89" s="22"/>
      <c r="L89" s="19" t="s">
        <v>6</v>
      </c>
      <c r="M89" s="18" t="s">
        <v>165</v>
      </c>
      <c r="N89" s="22" t="s">
        <v>701</v>
      </c>
      <c r="O89" s="22" t="s">
        <v>499</v>
      </c>
      <c r="P89" s="17" t="s">
        <v>702</v>
      </c>
      <c r="Q89" s="22" t="s">
        <v>143</v>
      </c>
      <c r="R89" s="14" t="s">
        <v>144</v>
      </c>
      <c r="S89" s="26">
        <v>3122972656</v>
      </c>
      <c r="T89" s="34">
        <v>3122972656</v>
      </c>
      <c r="U89" s="37" t="s">
        <v>703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147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290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137</v>
      </c>
      <c r="I90" s="18" t="s">
        <v>138</v>
      </c>
      <c r="J90" s="21" t="s">
        <v>704</v>
      </c>
      <c r="K90" s="22"/>
      <c r="L90" s="19" t="s">
        <v>4</v>
      </c>
      <c r="M90" s="18" t="s">
        <v>85</v>
      </c>
      <c r="N90" s="22" t="s">
        <v>705</v>
      </c>
      <c r="O90" s="22" t="s">
        <v>473</v>
      </c>
      <c r="P90" s="17" t="s">
        <v>706</v>
      </c>
      <c r="Q90" s="22" t="s">
        <v>605</v>
      </c>
      <c r="R90" s="14" t="s">
        <v>144</v>
      </c>
      <c r="S90" s="26" t="s">
        <v>707</v>
      </c>
      <c r="T90" s="34" t="s">
        <v>295</v>
      </c>
      <c r="U90" s="37" t="s">
        <v>708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147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290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137</v>
      </c>
      <c r="I91" s="18" t="s">
        <v>138</v>
      </c>
      <c r="J91" s="21" t="s">
        <v>709</v>
      </c>
      <c r="K91" s="22"/>
      <c r="L91" s="19" t="s">
        <v>4</v>
      </c>
      <c r="M91" s="18" t="s">
        <v>85</v>
      </c>
      <c r="N91" s="22" t="s">
        <v>710</v>
      </c>
      <c r="O91" s="22" t="s">
        <v>473</v>
      </c>
      <c r="P91" s="17" t="s">
        <v>711</v>
      </c>
      <c r="Q91" s="22" t="s">
        <v>605</v>
      </c>
      <c r="R91" s="14" t="s">
        <v>144</v>
      </c>
      <c r="S91" s="26" t="s">
        <v>712</v>
      </c>
      <c r="T91" s="34" t="s">
        <v>295</v>
      </c>
      <c r="U91" s="37" t="s">
        <v>713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147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290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137</v>
      </c>
      <c r="I92" s="18" t="s">
        <v>138</v>
      </c>
      <c r="J92" s="21" t="s">
        <v>714</v>
      </c>
      <c r="K92" s="22" t="s">
        <v>715</v>
      </c>
      <c r="L92" s="19" t="s">
        <v>4</v>
      </c>
      <c r="M92" s="18" t="s">
        <v>85</v>
      </c>
      <c r="N92" s="22" t="s">
        <v>716</v>
      </c>
      <c r="O92" s="22" t="s">
        <v>473</v>
      </c>
      <c r="P92" s="17" t="s">
        <v>717</v>
      </c>
      <c r="Q92" s="22" t="s">
        <v>143</v>
      </c>
      <c r="R92" s="14" t="s">
        <v>225</v>
      </c>
      <c r="S92" s="26" t="s">
        <v>718</v>
      </c>
      <c r="T92" s="34" t="s">
        <v>295</v>
      </c>
      <c r="U92" s="37" t="s">
        <v>719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147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290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137</v>
      </c>
      <c r="I93" s="18" t="s">
        <v>138</v>
      </c>
      <c r="J93" s="21" t="s">
        <v>720</v>
      </c>
      <c r="K93" s="22"/>
      <c r="L93" s="19" t="s">
        <v>4</v>
      </c>
      <c r="M93" s="18" t="s">
        <v>85</v>
      </c>
      <c r="N93" s="22" t="s">
        <v>721</v>
      </c>
      <c r="O93" s="22" t="s">
        <v>473</v>
      </c>
      <c r="P93" s="17" t="s">
        <v>722</v>
      </c>
      <c r="Q93" s="22" t="s">
        <v>143</v>
      </c>
      <c r="R93" s="14" t="s">
        <v>144</v>
      </c>
      <c r="S93" s="26">
        <v>3105726862</v>
      </c>
      <c r="T93" s="34" t="s">
        <v>295</v>
      </c>
      <c r="U93" s="37" t="s">
        <v>723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255</v>
      </c>
      <c r="AC93" t="s">
        <v>724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137</v>
      </c>
      <c r="I94" s="18" t="s">
        <v>138</v>
      </c>
      <c r="J94" s="21" t="s">
        <v>725</v>
      </c>
      <c r="K94" s="22"/>
      <c r="L94" s="19" t="s">
        <v>4</v>
      </c>
      <c r="M94" s="18" t="s">
        <v>85</v>
      </c>
      <c r="N94" s="22" t="s">
        <v>726</v>
      </c>
      <c r="O94" s="22" t="s">
        <v>473</v>
      </c>
      <c r="P94" s="17" t="s">
        <v>727</v>
      </c>
      <c r="Q94" s="22" t="s">
        <v>143</v>
      </c>
      <c r="R94" s="14" t="s">
        <v>193</v>
      </c>
      <c r="S94" s="26">
        <v>3102275656</v>
      </c>
      <c r="T94" s="34" t="s">
        <v>728</v>
      </c>
      <c r="U94" s="37" t="s">
        <v>729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147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137</v>
      </c>
      <c r="I95" s="18" t="s">
        <v>138</v>
      </c>
      <c r="J95" s="21" t="s">
        <v>730</v>
      </c>
      <c r="K95" s="22"/>
      <c r="L95" s="19" t="s">
        <v>4</v>
      </c>
      <c r="M95" s="18" t="s">
        <v>85</v>
      </c>
      <c r="N95" s="22" t="s">
        <v>731</v>
      </c>
      <c r="O95" s="22" t="s">
        <v>473</v>
      </c>
      <c r="P95" s="17" t="s">
        <v>732</v>
      </c>
      <c r="Q95" s="22" t="s">
        <v>143</v>
      </c>
      <c r="R95" s="14" t="s">
        <v>144</v>
      </c>
      <c r="S95" s="26">
        <v>3330334242</v>
      </c>
      <c r="T95" s="34" t="s">
        <v>728</v>
      </c>
      <c r="U95" s="37" t="s">
        <v>733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147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137</v>
      </c>
      <c r="I96" s="18" t="s">
        <v>138</v>
      </c>
      <c r="J96" s="21" t="s">
        <v>734</v>
      </c>
      <c r="K96" s="22"/>
      <c r="L96" s="19" t="s">
        <v>4</v>
      </c>
      <c r="M96" s="18" t="s">
        <v>85</v>
      </c>
      <c r="N96" s="22" t="s">
        <v>735</v>
      </c>
      <c r="O96" s="22" t="s">
        <v>473</v>
      </c>
      <c r="P96" s="17" t="s">
        <v>736</v>
      </c>
      <c r="Q96" s="22" t="s">
        <v>605</v>
      </c>
      <c r="R96" s="14" t="s">
        <v>225</v>
      </c>
      <c r="S96" s="26">
        <v>3176606271</v>
      </c>
      <c r="T96" s="34" t="s">
        <v>737</v>
      </c>
      <c r="U96" s="37" t="s">
        <v>738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147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137</v>
      </c>
      <c r="I97" s="18" t="s">
        <v>138</v>
      </c>
      <c r="J97" s="21" t="s">
        <v>739</v>
      </c>
      <c r="K97" s="22"/>
      <c r="L97" s="19" t="s">
        <v>4</v>
      </c>
      <c r="M97" s="18" t="s">
        <v>85</v>
      </c>
      <c r="N97" s="22" t="s">
        <v>740</v>
      </c>
      <c r="O97" s="22" t="s">
        <v>473</v>
      </c>
      <c r="P97" s="17" t="s">
        <v>741</v>
      </c>
      <c r="Q97" s="22" t="s">
        <v>605</v>
      </c>
      <c r="R97" s="14" t="s">
        <v>144</v>
      </c>
      <c r="S97" s="26">
        <v>3125370241</v>
      </c>
      <c r="T97" s="34" t="s">
        <v>737</v>
      </c>
      <c r="U97" s="37" t="s">
        <v>742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147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743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137</v>
      </c>
      <c r="I98" s="14" t="s">
        <v>138</v>
      </c>
      <c r="J98" s="14" t="s">
        <v>744</v>
      </c>
      <c r="K98" s="14"/>
      <c r="L98" s="14" t="s">
        <v>4</v>
      </c>
      <c r="M98" s="14" t="s">
        <v>85</v>
      </c>
      <c r="N98" s="14" t="s">
        <v>745</v>
      </c>
      <c r="O98" s="14" t="s">
        <v>519</v>
      </c>
      <c r="P98" s="17" t="s">
        <v>746</v>
      </c>
      <c r="Q98" s="14" t="s">
        <v>605</v>
      </c>
      <c r="R98" s="14" t="s">
        <v>144</v>
      </c>
      <c r="S98" s="28">
        <v>3123972027</v>
      </c>
      <c r="T98" s="18" t="s">
        <v>747</v>
      </c>
      <c r="U98" s="37" t="s">
        <v>748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147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433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137</v>
      </c>
      <c r="I99" s="18" t="s">
        <v>138</v>
      </c>
      <c r="J99" s="21" t="s">
        <v>749</v>
      </c>
      <c r="K99" s="22"/>
      <c r="L99" s="19" t="s">
        <v>4</v>
      </c>
      <c r="M99" s="18" t="s">
        <v>85</v>
      </c>
      <c r="N99" s="22" t="s">
        <v>750</v>
      </c>
      <c r="O99" s="22" t="s">
        <v>519</v>
      </c>
      <c r="P99" s="17" t="s">
        <v>751</v>
      </c>
      <c r="Q99" s="22" t="s">
        <v>143</v>
      </c>
      <c r="R99" s="14" t="s">
        <v>144</v>
      </c>
      <c r="S99" s="26" t="s">
        <v>752</v>
      </c>
      <c r="T99" s="34" t="s">
        <v>753</v>
      </c>
      <c r="U99" s="37" t="s">
        <v>754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147</v>
      </c>
      <c r="AA99" t="s">
        <v>755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149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137</v>
      </c>
      <c r="I100" s="18" t="s">
        <v>138</v>
      </c>
      <c r="J100" s="21" t="s">
        <v>756</v>
      </c>
      <c r="K100" s="22"/>
      <c r="L100" s="19" t="s">
        <v>4</v>
      </c>
      <c r="M100" s="18" t="s">
        <v>85</v>
      </c>
      <c r="N100" s="22" t="s">
        <v>757</v>
      </c>
      <c r="O100" s="22" t="s">
        <v>473</v>
      </c>
      <c r="P100" s="17" t="s">
        <v>758</v>
      </c>
      <c r="Q100" s="22" t="s">
        <v>143</v>
      </c>
      <c r="R100" s="14" t="s">
        <v>225</v>
      </c>
      <c r="S100" s="26">
        <v>3005546100</v>
      </c>
      <c r="T100" s="34"/>
      <c r="U100" s="37" t="s">
        <v>759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147</v>
      </c>
      <c r="AA100" t="s">
        <v>760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612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137</v>
      </c>
      <c r="I101" s="14" t="s">
        <v>138</v>
      </c>
      <c r="J101" s="14" t="s">
        <v>761</v>
      </c>
      <c r="K101" s="14"/>
      <c r="L101" s="14" t="s">
        <v>4</v>
      </c>
      <c r="M101" s="14" t="s">
        <v>85</v>
      </c>
      <c r="N101" s="14" t="s">
        <v>762</v>
      </c>
      <c r="O101" s="14" t="s">
        <v>473</v>
      </c>
      <c r="P101" s="17" t="s">
        <v>763</v>
      </c>
      <c r="Q101" s="14" t="s">
        <v>143</v>
      </c>
      <c r="R101" s="14" t="s">
        <v>501</v>
      </c>
      <c r="S101" s="28">
        <v>3203854343</v>
      </c>
      <c r="T101" s="18" t="s">
        <v>764</v>
      </c>
      <c r="U101" s="37" t="s">
        <v>765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147</v>
      </c>
      <c r="AA101" t="s">
        <v>766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541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137</v>
      </c>
      <c r="I102" s="14" t="s">
        <v>138</v>
      </c>
      <c r="J102" s="14" t="s">
        <v>767</v>
      </c>
      <c r="K102" s="14"/>
      <c r="L102" s="14" t="s">
        <v>4</v>
      </c>
      <c r="M102" s="14" t="s">
        <v>85</v>
      </c>
      <c r="N102" s="14" t="s">
        <v>768</v>
      </c>
      <c r="O102" s="14" t="s">
        <v>473</v>
      </c>
      <c r="P102" s="17" t="s">
        <v>769</v>
      </c>
      <c r="Q102" s="14" t="s">
        <v>605</v>
      </c>
      <c r="R102" s="14" t="s">
        <v>225</v>
      </c>
      <c r="S102" s="28">
        <v>3176606271</v>
      </c>
      <c r="T102" s="35" t="s">
        <v>295</v>
      </c>
      <c r="U102" s="37" t="s">
        <v>723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255</v>
      </c>
      <c r="AA102" t="s">
        <v>770</v>
      </c>
      <c r="AC102" t="s">
        <v>771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269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137</v>
      </c>
      <c r="I103" s="14" t="s">
        <v>138</v>
      </c>
      <c r="J103" s="14" t="s">
        <v>772</v>
      </c>
      <c r="K103" s="14"/>
      <c r="L103" s="14" t="s">
        <v>4</v>
      </c>
      <c r="M103" s="14" t="s">
        <v>85</v>
      </c>
      <c r="N103" s="14" t="s">
        <v>773</v>
      </c>
      <c r="O103" s="14" t="s">
        <v>519</v>
      </c>
      <c r="P103" s="17" t="s">
        <v>774</v>
      </c>
      <c r="Q103" s="14" t="s">
        <v>143</v>
      </c>
      <c r="R103" s="14" t="s">
        <v>144</v>
      </c>
      <c r="S103" s="28">
        <v>3143327175</v>
      </c>
      <c r="T103" s="35" t="s">
        <v>276</v>
      </c>
      <c r="U103" s="37" t="s">
        <v>775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147</v>
      </c>
      <c r="AA103" t="s">
        <v>776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541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137</v>
      </c>
      <c r="I104" s="14" t="s">
        <v>138</v>
      </c>
      <c r="J104" s="14" t="s">
        <v>777</v>
      </c>
      <c r="K104" s="14" t="s">
        <v>778</v>
      </c>
      <c r="L104" s="14" t="s">
        <v>4</v>
      </c>
      <c r="M104" s="14" t="s">
        <v>85</v>
      </c>
      <c r="N104" s="14" t="s">
        <v>779</v>
      </c>
      <c r="O104" s="14" t="s">
        <v>473</v>
      </c>
      <c r="P104" s="17" t="s">
        <v>780</v>
      </c>
      <c r="Q104" s="14" t="s">
        <v>143</v>
      </c>
      <c r="R104" s="14" t="s">
        <v>225</v>
      </c>
      <c r="S104" s="28" t="s">
        <v>781</v>
      </c>
      <c r="T104" s="35" t="s">
        <v>295</v>
      </c>
      <c r="U104" s="37" t="s">
        <v>782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147</v>
      </c>
      <c r="AA104" t="s">
        <v>783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269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137</v>
      </c>
      <c r="I105" s="14" t="s">
        <v>138</v>
      </c>
      <c r="J105" s="14" t="s">
        <v>784</v>
      </c>
      <c r="K105" s="14"/>
      <c r="L105" s="14" t="s">
        <v>4</v>
      </c>
      <c r="M105" s="14" t="s">
        <v>85</v>
      </c>
      <c r="N105" s="14" t="s">
        <v>785</v>
      </c>
      <c r="O105" s="14" t="s">
        <v>519</v>
      </c>
      <c r="P105" s="17" t="s">
        <v>786</v>
      </c>
      <c r="Q105" s="14" t="s">
        <v>605</v>
      </c>
      <c r="R105" s="14" t="s">
        <v>144</v>
      </c>
      <c r="S105" s="28">
        <v>3208025550</v>
      </c>
      <c r="T105" s="35" t="s">
        <v>513</v>
      </c>
      <c r="U105" s="37" t="s">
        <v>787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147</v>
      </c>
      <c r="AA105" t="s">
        <v>788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137</v>
      </c>
      <c r="I106" s="14" t="s">
        <v>138</v>
      </c>
      <c r="J106" s="14" t="s">
        <v>789</v>
      </c>
      <c r="K106" s="14"/>
      <c r="L106" s="14" t="s">
        <v>4</v>
      </c>
      <c r="M106" s="14" t="s">
        <v>85</v>
      </c>
      <c r="N106" s="14" t="s">
        <v>790</v>
      </c>
      <c r="O106" s="14" t="s">
        <v>566</v>
      </c>
      <c r="P106" s="17" t="s">
        <v>791</v>
      </c>
      <c r="Q106" s="14" t="s">
        <v>224</v>
      </c>
      <c r="R106" s="14" t="s">
        <v>225</v>
      </c>
      <c r="S106" s="28">
        <v>3144428080</v>
      </c>
      <c r="T106" s="35" t="s">
        <v>513</v>
      </c>
      <c r="U106" s="37" t="s">
        <v>792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147</v>
      </c>
      <c r="AA106" t="s">
        <v>793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554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137</v>
      </c>
      <c r="I107" s="14" t="s">
        <v>138</v>
      </c>
      <c r="J107" s="14" t="s">
        <v>794</v>
      </c>
      <c r="K107" s="14"/>
      <c r="L107" s="14" t="s">
        <v>4</v>
      </c>
      <c r="M107" s="14" t="s">
        <v>85</v>
      </c>
      <c r="N107" s="14" t="s">
        <v>795</v>
      </c>
      <c r="O107" s="14" t="s">
        <v>519</v>
      </c>
      <c r="P107" s="17" t="s">
        <v>796</v>
      </c>
      <c r="Q107" s="14" t="s">
        <v>143</v>
      </c>
      <c r="R107" s="14" t="s">
        <v>144</v>
      </c>
      <c r="S107" s="28" t="s">
        <v>797</v>
      </c>
      <c r="T107" s="35" t="s">
        <v>798</v>
      </c>
      <c r="U107" s="37" t="s">
        <v>799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147</v>
      </c>
      <c r="AA107" t="s">
        <v>800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801</v>
      </c>
      <c r="AN107" s="29" t="s">
        <v>802</v>
      </c>
    </row>
    <row r="108" spans="1:40" ht="30" customHeight="1">
      <c r="A108" s="14">
        <v>3702441</v>
      </c>
      <c r="B108" s="14" t="s">
        <v>70</v>
      </c>
      <c r="C108" s="14" t="s">
        <v>554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137</v>
      </c>
      <c r="I108" s="14" t="s">
        <v>138</v>
      </c>
      <c r="J108" s="14" t="s">
        <v>803</v>
      </c>
      <c r="K108" s="14" t="s">
        <v>804</v>
      </c>
      <c r="L108" s="14" t="s">
        <v>4</v>
      </c>
      <c r="M108" s="14" t="s">
        <v>85</v>
      </c>
      <c r="N108" s="14" t="s">
        <v>805</v>
      </c>
      <c r="O108" s="14" t="s">
        <v>519</v>
      </c>
      <c r="P108" s="17" t="s">
        <v>806</v>
      </c>
      <c r="Q108" s="14" t="s">
        <v>605</v>
      </c>
      <c r="R108" s="14" t="s">
        <v>225</v>
      </c>
      <c r="S108" s="28" t="s">
        <v>797</v>
      </c>
      <c r="T108" s="35" t="s">
        <v>807</v>
      </c>
      <c r="U108" s="37" t="s">
        <v>808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147</v>
      </c>
      <c r="AA108" t="s">
        <v>809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810</v>
      </c>
    </row>
    <row r="109" spans="1:40" ht="23.45" customHeight="1">
      <c r="A109" s="14">
        <v>3702467</v>
      </c>
      <c r="B109" s="14" t="s">
        <v>62</v>
      </c>
      <c r="C109" s="14" t="s">
        <v>188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137</v>
      </c>
      <c r="I109" s="14" t="s">
        <v>138</v>
      </c>
      <c r="J109" s="14" t="s">
        <v>811</v>
      </c>
      <c r="K109" s="14"/>
      <c r="L109" s="14" t="s">
        <v>4</v>
      </c>
      <c r="M109" s="14" t="s">
        <v>85</v>
      </c>
      <c r="N109" s="14" t="s">
        <v>812</v>
      </c>
      <c r="O109" s="14" t="s">
        <v>566</v>
      </c>
      <c r="P109" s="17" t="s">
        <v>813</v>
      </c>
      <c r="Q109" s="14" t="s">
        <v>605</v>
      </c>
      <c r="R109" s="14" t="s">
        <v>144</v>
      </c>
      <c r="S109" s="28">
        <v>3208999393</v>
      </c>
      <c r="T109" s="35">
        <v>3208999393</v>
      </c>
      <c r="U109" s="37" t="s">
        <v>814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147</v>
      </c>
      <c r="AA109" t="s">
        <v>815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816</v>
      </c>
      <c r="AN109" s="43" t="s">
        <v>817</v>
      </c>
    </row>
    <row r="110" spans="1:40" ht="29.1">
      <c r="A110" s="14">
        <v>3705728</v>
      </c>
      <c r="B110" s="14" t="s">
        <v>65</v>
      </c>
      <c r="C110" s="14" t="s">
        <v>425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137</v>
      </c>
      <c r="I110" s="14" t="s">
        <v>138</v>
      </c>
      <c r="J110" s="14" t="s">
        <v>818</v>
      </c>
      <c r="K110" s="14"/>
      <c r="L110" s="14" t="s">
        <v>4</v>
      </c>
      <c r="M110" s="14" t="s">
        <v>85</v>
      </c>
      <c r="N110" s="14" t="s">
        <v>819</v>
      </c>
      <c r="O110" s="14" t="s">
        <v>519</v>
      </c>
      <c r="P110" s="17" t="s">
        <v>820</v>
      </c>
      <c r="Q110" s="14" t="s">
        <v>143</v>
      </c>
      <c r="R110" s="14" t="s">
        <v>225</v>
      </c>
      <c r="S110" s="28">
        <v>3213770000</v>
      </c>
      <c r="T110" s="35" t="s">
        <v>821</v>
      </c>
      <c r="U110" s="37" t="s">
        <v>822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147</v>
      </c>
      <c r="AA110" t="s">
        <v>823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M110"/>
      <c r="AN110" s="29" t="s">
        <v>824</v>
      </c>
    </row>
    <row r="111" spans="1:40" ht="29.1">
      <c r="A111" s="14">
        <v>3705921</v>
      </c>
      <c r="B111" s="14" t="s">
        <v>69</v>
      </c>
      <c r="C111" s="14" t="s">
        <v>662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137</v>
      </c>
      <c r="I111" s="14" t="s">
        <v>138</v>
      </c>
      <c r="J111" s="14" t="s">
        <v>825</v>
      </c>
      <c r="K111" s="14"/>
      <c r="L111" s="14" t="s">
        <v>6</v>
      </c>
      <c r="M111" s="14" t="s">
        <v>96</v>
      </c>
      <c r="N111" s="14" t="s">
        <v>826</v>
      </c>
      <c r="O111" s="14" t="s">
        <v>499</v>
      </c>
      <c r="P111" s="17" t="s">
        <v>827</v>
      </c>
      <c r="Q111" s="14" t="s">
        <v>143</v>
      </c>
      <c r="R111" s="14" t="s">
        <v>144</v>
      </c>
      <c r="S111" s="28" t="s">
        <v>828</v>
      </c>
      <c r="T111" s="35" t="s">
        <v>829</v>
      </c>
      <c r="U111" s="37" t="s">
        <v>830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147</v>
      </c>
      <c r="AA111" t="s">
        <v>831</v>
      </c>
      <c r="AD111" t="s">
        <v>58</v>
      </c>
      <c r="AE111">
        <v>3</v>
      </c>
      <c r="AF111" t="s">
        <v>29</v>
      </c>
      <c r="AM111"/>
      <c r="AN111" s="29"/>
    </row>
    <row r="112" spans="1:40" ht="29.1">
      <c r="A112" s="14">
        <v>3705971</v>
      </c>
      <c r="B112" s="14" t="s">
        <v>72</v>
      </c>
      <c r="C112" s="14" t="s">
        <v>602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137</v>
      </c>
      <c r="I112" s="14" t="s">
        <v>138</v>
      </c>
      <c r="J112" s="14" t="s">
        <v>832</v>
      </c>
      <c r="K112" s="14"/>
      <c r="L112" s="14" t="s">
        <v>4</v>
      </c>
      <c r="M112" s="14" t="s">
        <v>85</v>
      </c>
      <c r="N112" s="45" t="s">
        <v>833</v>
      </c>
      <c r="O112" s="14" t="s">
        <v>473</v>
      </c>
      <c r="P112" s="17" t="s">
        <v>834</v>
      </c>
      <c r="Q112" s="14" t="s">
        <v>224</v>
      </c>
      <c r="R112" s="14" t="s">
        <v>225</v>
      </c>
      <c r="S112" s="28">
        <v>3102386140</v>
      </c>
      <c r="T112" s="35" t="s">
        <v>203</v>
      </c>
      <c r="U112" s="37" t="s">
        <v>835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147</v>
      </c>
      <c r="AA112" t="s">
        <v>836</v>
      </c>
      <c r="AD112" t="s">
        <v>57</v>
      </c>
      <c r="AE112">
        <v>3</v>
      </c>
      <c r="AF112" t="s">
        <v>837</v>
      </c>
      <c r="AG112" t="s">
        <v>28</v>
      </c>
      <c r="AH112" t="s">
        <v>36</v>
      </c>
      <c r="AI112" s="23">
        <v>46237</v>
      </c>
      <c r="AL112" t="s">
        <v>58</v>
      </c>
      <c r="AM112" t="s">
        <v>816</v>
      </c>
      <c r="AN112" s="29" t="s">
        <v>838</v>
      </c>
    </row>
    <row r="113" spans="1:40" ht="29.1">
      <c r="A113" s="14">
        <v>3706034</v>
      </c>
      <c r="B113" s="14" t="s">
        <v>69</v>
      </c>
      <c r="C113" s="14" t="s">
        <v>662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137</v>
      </c>
      <c r="I113" s="14" t="s">
        <v>138</v>
      </c>
      <c r="J113" s="14" t="s">
        <v>839</v>
      </c>
      <c r="K113" s="14" t="s">
        <v>840</v>
      </c>
      <c r="L113" s="14" t="s">
        <v>6</v>
      </c>
      <c r="M113" s="14" t="s">
        <v>96</v>
      </c>
      <c r="N113" s="14" t="s">
        <v>841</v>
      </c>
      <c r="O113" s="14" t="s">
        <v>499</v>
      </c>
      <c r="P113" s="17" t="s">
        <v>842</v>
      </c>
      <c r="Q113" s="14" t="s">
        <v>605</v>
      </c>
      <c r="R113" s="14" t="s">
        <v>176</v>
      </c>
      <c r="S113" s="28">
        <v>3053375850</v>
      </c>
      <c r="T113" s="35">
        <v>3053375850</v>
      </c>
      <c r="U113" s="37" t="s">
        <v>843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147</v>
      </c>
      <c r="AA113" t="s">
        <v>844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845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137</v>
      </c>
      <c r="I114" s="14" t="s">
        <v>138</v>
      </c>
      <c r="J114" s="14" t="s">
        <v>846</v>
      </c>
      <c r="K114" s="14"/>
      <c r="L114" s="14" t="s">
        <v>6</v>
      </c>
      <c r="M114" s="14" t="s">
        <v>165</v>
      </c>
      <c r="N114" s="14" t="s">
        <v>847</v>
      </c>
      <c r="O114" s="14" t="s">
        <v>499</v>
      </c>
      <c r="P114" s="17" t="s">
        <v>848</v>
      </c>
      <c r="Q114" s="14" t="s">
        <v>224</v>
      </c>
      <c r="R114" s="14" t="s">
        <v>225</v>
      </c>
      <c r="S114" s="14" t="s">
        <v>849</v>
      </c>
      <c r="T114" s="18" t="s">
        <v>850</v>
      </c>
      <c r="U114" s="37" t="s">
        <v>851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147</v>
      </c>
      <c r="AA114" t="s">
        <v>852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845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137</v>
      </c>
      <c r="I115" s="14" t="s">
        <v>138</v>
      </c>
      <c r="J115" s="14" t="s">
        <v>853</v>
      </c>
      <c r="K115" s="14"/>
      <c r="L115" s="14" t="s">
        <v>6</v>
      </c>
      <c r="M115" s="14" t="s">
        <v>165</v>
      </c>
      <c r="N115" s="14" t="s">
        <v>854</v>
      </c>
      <c r="O115" s="14" t="s">
        <v>499</v>
      </c>
      <c r="P115" s="17" t="s">
        <v>855</v>
      </c>
      <c r="Q115" s="14" t="s">
        <v>605</v>
      </c>
      <c r="R115" s="14" t="s">
        <v>225</v>
      </c>
      <c r="S115" s="14" t="s">
        <v>856</v>
      </c>
      <c r="T115" s="18" t="s">
        <v>857</v>
      </c>
      <c r="U115" s="37" t="s">
        <v>858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147</v>
      </c>
      <c r="AA115" t="s">
        <v>859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240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137</v>
      </c>
      <c r="I116" s="14" t="s">
        <v>138</v>
      </c>
      <c r="J116" s="14" t="s">
        <v>860</v>
      </c>
      <c r="K116" s="14" t="s">
        <v>861</v>
      </c>
      <c r="L116" s="14" t="s">
        <v>4</v>
      </c>
      <c r="M116" s="14" t="s">
        <v>93</v>
      </c>
      <c r="N116" s="14" t="s">
        <v>862</v>
      </c>
      <c r="O116" s="14" t="s">
        <v>519</v>
      </c>
      <c r="P116" s="17" t="s">
        <v>863</v>
      </c>
      <c r="Q116" s="14" t="s">
        <v>605</v>
      </c>
      <c r="R116" s="14" t="s">
        <v>501</v>
      </c>
      <c r="S116" s="28">
        <v>3123855478</v>
      </c>
      <c r="T116" s="18" t="s">
        <v>295</v>
      </c>
      <c r="U116" s="37" t="s">
        <v>864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147</v>
      </c>
      <c r="AA116" t="s">
        <v>865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866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137</v>
      </c>
      <c r="I117" s="14" t="s">
        <v>138</v>
      </c>
      <c r="J117" s="14" t="s">
        <v>867</v>
      </c>
      <c r="K117" s="14"/>
      <c r="L117" s="14" t="s">
        <v>6</v>
      </c>
      <c r="M117" s="14" t="s">
        <v>96</v>
      </c>
      <c r="N117" s="14" t="s">
        <v>868</v>
      </c>
      <c r="O117" s="14" t="s">
        <v>499</v>
      </c>
      <c r="P117" s="17" t="s">
        <v>869</v>
      </c>
      <c r="Q117" s="14" t="s">
        <v>224</v>
      </c>
      <c r="R117" s="14" t="s">
        <v>225</v>
      </c>
      <c r="S117" s="28" t="s">
        <v>870</v>
      </c>
      <c r="T117" s="18" t="s">
        <v>643</v>
      </c>
      <c r="U117" s="37" t="s">
        <v>871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147</v>
      </c>
      <c r="AA117" t="s">
        <v>872</v>
      </c>
      <c r="AD117" t="s">
        <v>57</v>
      </c>
      <c r="AE117">
        <v>3</v>
      </c>
      <c r="AG117" t="s">
        <v>28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554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137</v>
      </c>
      <c r="I118" s="14" t="s">
        <v>873</v>
      </c>
      <c r="J118" s="14" t="s">
        <v>874</v>
      </c>
      <c r="K118" s="14"/>
      <c r="L118" s="14" t="s">
        <v>4</v>
      </c>
      <c r="M118" s="14" t="s">
        <v>85</v>
      </c>
      <c r="N118" s="14" t="s">
        <v>875</v>
      </c>
      <c r="O118" s="14" t="s">
        <v>519</v>
      </c>
      <c r="P118" s="17" t="s">
        <v>876</v>
      </c>
      <c r="Q118" s="14" t="s">
        <v>143</v>
      </c>
      <c r="R118" s="14" t="s">
        <v>144</v>
      </c>
      <c r="S118" s="28">
        <v>3155215531</v>
      </c>
      <c r="T118" s="18" t="s">
        <v>877</v>
      </c>
      <c r="U118" s="37" t="s">
        <v>878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147</v>
      </c>
      <c r="AA118" t="s">
        <v>879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541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137</v>
      </c>
      <c r="I119" s="14" t="s">
        <v>138</v>
      </c>
      <c r="J119" s="14" t="s">
        <v>880</v>
      </c>
      <c r="K119" s="14"/>
      <c r="L119" s="14" t="s">
        <v>4</v>
      </c>
      <c r="M119" s="14" t="s">
        <v>85</v>
      </c>
      <c r="N119" s="14" t="s">
        <v>881</v>
      </c>
      <c r="O119" s="14" t="s">
        <v>473</v>
      </c>
      <c r="P119" s="17" t="s">
        <v>882</v>
      </c>
      <c r="Q119" s="14" t="s">
        <v>605</v>
      </c>
      <c r="R119" s="14" t="s">
        <v>144</v>
      </c>
      <c r="S119" s="28">
        <v>3108252119</v>
      </c>
      <c r="T119" s="18" t="s">
        <v>883</v>
      </c>
      <c r="U119" s="37" t="s">
        <v>884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147</v>
      </c>
      <c r="AA119" t="s">
        <v>885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886</v>
      </c>
    </row>
    <row r="120" spans="1:40" ht="29.1">
      <c r="A120" s="14">
        <v>3709542</v>
      </c>
      <c r="B120" s="14" t="s">
        <v>72</v>
      </c>
      <c r="C120" s="14" t="s">
        <v>602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137</v>
      </c>
      <c r="I120" s="14" t="s">
        <v>138</v>
      </c>
      <c r="J120" s="14" t="s">
        <v>887</v>
      </c>
      <c r="K120" s="14"/>
      <c r="L120" s="14" t="s">
        <v>4</v>
      </c>
      <c r="M120" s="14" t="s">
        <v>92</v>
      </c>
      <c r="N120" s="14" t="s">
        <v>888</v>
      </c>
      <c r="O120" s="14" t="s">
        <v>473</v>
      </c>
      <c r="P120" s="17" t="s">
        <v>889</v>
      </c>
      <c r="Q120" s="14" t="s">
        <v>143</v>
      </c>
      <c r="R120" s="14" t="s">
        <v>144</v>
      </c>
      <c r="S120" s="28">
        <v>3208315870</v>
      </c>
      <c r="T120" s="18" t="s">
        <v>203</v>
      </c>
      <c r="U120" s="37" t="s">
        <v>890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147</v>
      </c>
      <c r="AA120" t="s">
        <v>891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866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137</v>
      </c>
      <c r="I121" s="14" t="s">
        <v>138</v>
      </c>
      <c r="J121" s="14" t="s">
        <v>892</v>
      </c>
      <c r="K121" s="14"/>
      <c r="L121" s="14" t="s">
        <v>6</v>
      </c>
      <c r="M121" s="14" t="s">
        <v>96</v>
      </c>
      <c r="N121" s="14" t="s">
        <v>893</v>
      </c>
      <c r="O121" s="14" t="s">
        <v>499</v>
      </c>
      <c r="P121" s="17" t="s">
        <v>894</v>
      </c>
      <c r="Q121" s="14" t="s">
        <v>143</v>
      </c>
      <c r="R121" s="14" t="s">
        <v>225</v>
      </c>
      <c r="S121" s="28" t="s">
        <v>895</v>
      </c>
      <c r="T121" s="18" t="s">
        <v>896</v>
      </c>
      <c r="U121" s="37" t="s">
        <v>897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147</v>
      </c>
      <c r="AA121" t="s">
        <v>898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248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137</v>
      </c>
      <c r="I122" s="14" t="s">
        <v>138</v>
      </c>
      <c r="J122" s="14" t="s">
        <v>899</v>
      </c>
      <c r="K122" s="14"/>
      <c r="L122" s="14" t="s">
        <v>4</v>
      </c>
      <c r="M122" s="14" t="s">
        <v>85</v>
      </c>
      <c r="N122" s="14" t="s">
        <v>900</v>
      </c>
      <c r="O122" s="14" t="s">
        <v>473</v>
      </c>
      <c r="P122" s="17" t="s">
        <v>901</v>
      </c>
      <c r="Q122" s="14" t="s">
        <v>143</v>
      </c>
      <c r="R122" s="14" t="s">
        <v>144</v>
      </c>
      <c r="S122" s="28">
        <v>3212132183</v>
      </c>
      <c r="T122" s="18" t="s">
        <v>453</v>
      </c>
      <c r="U122" s="37" t="s">
        <v>902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147</v>
      </c>
      <c r="AA122" t="s">
        <v>903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845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137</v>
      </c>
      <c r="I123" s="14" t="s">
        <v>138</v>
      </c>
      <c r="J123" s="14" t="s">
        <v>904</v>
      </c>
      <c r="K123" s="14"/>
      <c r="L123" s="14" t="s">
        <v>6</v>
      </c>
      <c r="M123" s="14" t="s">
        <v>165</v>
      </c>
      <c r="N123" s="14" t="s">
        <v>905</v>
      </c>
      <c r="O123" s="14" t="s">
        <v>499</v>
      </c>
      <c r="P123" s="17" t="s">
        <v>906</v>
      </c>
      <c r="Q123" s="14" t="s">
        <v>224</v>
      </c>
      <c r="R123" s="14" t="s">
        <v>225</v>
      </c>
      <c r="S123" s="14" t="s">
        <v>856</v>
      </c>
      <c r="T123" s="18" t="s">
        <v>907</v>
      </c>
      <c r="U123" s="37" t="s">
        <v>908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147</v>
      </c>
      <c r="AD123" t="s">
        <v>57</v>
      </c>
      <c r="AE123">
        <v>3</v>
      </c>
      <c r="AG123" t="s">
        <v>31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866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137</v>
      </c>
      <c r="I124" s="14" t="s">
        <v>138</v>
      </c>
      <c r="J124" s="14" t="s">
        <v>909</v>
      </c>
      <c r="K124" s="14"/>
      <c r="L124" s="14" t="s">
        <v>6</v>
      </c>
      <c r="M124" s="14" t="s">
        <v>96</v>
      </c>
      <c r="N124" s="14" t="s">
        <v>910</v>
      </c>
      <c r="O124" s="14" t="s">
        <v>499</v>
      </c>
      <c r="P124" s="17" t="s">
        <v>911</v>
      </c>
      <c r="Q124" s="14" t="s">
        <v>143</v>
      </c>
      <c r="R124" s="14" t="s">
        <v>912</v>
      </c>
      <c r="S124" s="28" t="s">
        <v>913</v>
      </c>
      <c r="T124" s="18" t="s">
        <v>643</v>
      </c>
      <c r="U124" s="37" t="s">
        <v>914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147</v>
      </c>
      <c r="AA124" t="s">
        <v>915</v>
      </c>
      <c r="AD124" t="s">
        <v>57</v>
      </c>
      <c r="AE124">
        <v>3</v>
      </c>
      <c r="AG124" t="s">
        <v>31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656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137</v>
      </c>
      <c r="I125" s="14" t="s">
        <v>138</v>
      </c>
      <c r="J125" s="14" t="s">
        <v>916</v>
      </c>
      <c r="K125" s="14"/>
      <c r="L125" s="14" t="s">
        <v>4</v>
      </c>
      <c r="M125" s="14" t="s">
        <v>85</v>
      </c>
      <c r="N125" s="14" t="s">
        <v>917</v>
      </c>
      <c r="O125" s="14" t="s">
        <v>519</v>
      </c>
      <c r="P125" s="14" t="s">
        <v>918</v>
      </c>
      <c r="Q125" s="14" t="s">
        <v>605</v>
      </c>
      <c r="R125" s="14" t="s">
        <v>144</v>
      </c>
      <c r="S125" s="28">
        <v>3202655742</v>
      </c>
      <c r="T125" s="35" t="s">
        <v>453</v>
      </c>
      <c r="U125" s="37" t="s">
        <v>919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147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256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137</v>
      </c>
      <c r="I126" s="14" t="s">
        <v>138</v>
      </c>
      <c r="J126" s="14" t="s">
        <v>920</v>
      </c>
      <c r="K126" s="14"/>
      <c r="L126" s="14" t="s">
        <v>4</v>
      </c>
      <c r="M126" s="14" t="s">
        <v>93</v>
      </c>
      <c r="N126" s="14" t="s">
        <v>921</v>
      </c>
      <c r="O126" s="14" t="s">
        <v>519</v>
      </c>
      <c r="P126" s="14" t="s">
        <v>922</v>
      </c>
      <c r="Q126" s="14" t="s">
        <v>143</v>
      </c>
      <c r="R126" s="14" t="s">
        <v>144</v>
      </c>
      <c r="S126" s="28">
        <v>3102077522</v>
      </c>
      <c r="T126" s="35" t="s">
        <v>261</v>
      </c>
      <c r="U126" s="38" t="s">
        <v>923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147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256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137</v>
      </c>
      <c r="I127" s="14" t="s">
        <v>138</v>
      </c>
      <c r="J127" s="14" t="s">
        <v>924</v>
      </c>
      <c r="K127" s="14"/>
      <c r="L127" s="14" t="s">
        <v>4</v>
      </c>
      <c r="M127" s="14" t="s">
        <v>93</v>
      </c>
      <c r="N127" s="14" t="s">
        <v>925</v>
      </c>
      <c r="O127" s="14" t="s">
        <v>519</v>
      </c>
      <c r="P127" s="17" t="s">
        <v>926</v>
      </c>
      <c r="Q127" s="14" t="s">
        <v>143</v>
      </c>
      <c r="R127" s="14" t="s">
        <v>144</v>
      </c>
      <c r="S127" s="28">
        <v>3118053860</v>
      </c>
      <c r="T127" s="35" t="s">
        <v>513</v>
      </c>
      <c r="U127" s="38" t="s">
        <v>927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147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180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137</v>
      </c>
      <c r="I128" s="14" t="s">
        <v>138</v>
      </c>
      <c r="J128" s="14" t="s">
        <v>928</v>
      </c>
      <c r="K128" s="14"/>
      <c r="L128" s="14" t="s">
        <v>6</v>
      </c>
      <c r="M128" s="14" t="s">
        <v>165</v>
      </c>
      <c r="N128" s="14" t="s">
        <v>929</v>
      </c>
      <c r="O128" s="14" t="s">
        <v>499</v>
      </c>
      <c r="P128" s="17" t="s">
        <v>930</v>
      </c>
      <c r="Q128" s="14" t="s">
        <v>143</v>
      </c>
      <c r="R128" s="14" t="s">
        <v>144</v>
      </c>
      <c r="S128" s="28">
        <v>3148881602</v>
      </c>
      <c r="T128" s="35" t="s">
        <v>325</v>
      </c>
      <c r="U128" s="38" t="s">
        <v>931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147</v>
      </c>
      <c r="AD128" t="s">
        <v>57</v>
      </c>
      <c r="AE128">
        <v>3</v>
      </c>
      <c r="AG128" t="s">
        <v>31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489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137</v>
      </c>
      <c r="I129" s="14" t="s">
        <v>138</v>
      </c>
      <c r="J129" s="14" t="s">
        <v>932</v>
      </c>
      <c r="K129" s="14"/>
      <c r="L129" s="14" t="s">
        <v>4</v>
      </c>
      <c r="M129" s="14" t="s">
        <v>85</v>
      </c>
      <c r="N129" s="14" t="s">
        <v>933</v>
      </c>
      <c r="O129" s="14" t="s">
        <v>473</v>
      </c>
      <c r="P129" s="14" t="s">
        <v>934</v>
      </c>
      <c r="Q129" s="14" t="s">
        <v>143</v>
      </c>
      <c r="R129" s="14" t="s">
        <v>144</v>
      </c>
      <c r="S129" s="28">
        <v>3114857338</v>
      </c>
      <c r="T129" s="35">
        <v>3114857338</v>
      </c>
      <c r="U129" s="38" t="s">
        <v>935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936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489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137</v>
      </c>
      <c r="I130" s="14" t="s">
        <v>138</v>
      </c>
      <c r="J130" s="14" t="s">
        <v>937</v>
      </c>
      <c r="K130" s="14"/>
      <c r="L130" s="14" t="s">
        <v>4</v>
      </c>
      <c r="M130" s="14" t="s">
        <v>85</v>
      </c>
      <c r="N130" s="14" t="s">
        <v>938</v>
      </c>
      <c r="O130" s="14" t="s">
        <v>499</v>
      </c>
      <c r="P130" s="14" t="s">
        <v>939</v>
      </c>
      <c r="Q130" s="14" t="s">
        <v>224</v>
      </c>
      <c r="R130" s="14" t="s">
        <v>225</v>
      </c>
      <c r="S130" s="28">
        <v>3102400431</v>
      </c>
      <c r="T130" s="35">
        <v>3102400431</v>
      </c>
      <c r="U130" s="38" t="s">
        <v>940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147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941</v>
      </c>
    </row>
    <row r="131" spans="1:40" ht="29.1">
      <c r="A131" s="14">
        <v>3709760</v>
      </c>
      <c r="B131" s="14" t="s">
        <v>61</v>
      </c>
      <c r="C131" s="14" t="s">
        <v>489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137</v>
      </c>
      <c r="I131" s="14" t="s">
        <v>138</v>
      </c>
      <c r="J131" s="14" t="s">
        <v>942</v>
      </c>
      <c r="K131" s="14"/>
      <c r="L131" s="14" t="s">
        <v>4</v>
      </c>
      <c r="M131" s="14" t="s">
        <v>85</v>
      </c>
      <c r="N131" s="14" t="s">
        <v>943</v>
      </c>
      <c r="O131" s="14" t="s">
        <v>473</v>
      </c>
      <c r="P131" s="14" t="s">
        <v>944</v>
      </c>
      <c r="Q131" s="14" t="s">
        <v>224</v>
      </c>
      <c r="R131" s="14" t="s">
        <v>144</v>
      </c>
      <c r="S131" s="28">
        <v>3152331861</v>
      </c>
      <c r="T131" s="35">
        <v>3152331861</v>
      </c>
      <c r="U131" s="38" t="s">
        <v>945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147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219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137</v>
      </c>
      <c r="I132" s="14" t="s">
        <v>138</v>
      </c>
      <c r="J132" s="14" t="s">
        <v>946</v>
      </c>
      <c r="K132" s="14"/>
      <c r="L132" s="14" t="s">
        <v>4</v>
      </c>
      <c r="M132" s="14" t="s">
        <v>85</v>
      </c>
      <c r="N132" s="14" t="s">
        <v>947</v>
      </c>
      <c r="O132" s="14" t="s">
        <v>519</v>
      </c>
      <c r="P132" s="14" t="s">
        <v>948</v>
      </c>
      <c r="Q132" s="14" t="s">
        <v>143</v>
      </c>
      <c r="R132" s="14" t="s">
        <v>176</v>
      </c>
      <c r="S132" s="28">
        <v>3197316690</v>
      </c>
      <c r="T132" s="35" t="s">
        <v>949</v>
      </c>
      <c r="U132" s="38" t="s">
        <v>950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147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219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137</v>
      </c>
      <c r="I133" s="14" t="s">
        <v>138</v>
      </c>
      <c r="J133" s="14" t="s">
        <v>951</v>
      </c>
      <c r="K133" s="14"/>
      <c r="L133" s="14" t="s">
        <v>4</v>
      </c>
      <c r="M133" s="14" t="s">
        <v>85</v>
      </c>
      <c r="N133" s="14" t="s">
        <v>952</v>
      </c>
      <c r="O133" s="14" t="s">
        <v>519</v>
      </c>
      <c r="P133" s="14" t="s">
        <v>953</v>
      </c>
      <c r="Q133" s="14" t="s">
        <v>143</v>
      </c>
      <c r="R133" s="14" t="s">
        <v>144</v>
      </c>
      <c r="S133" s="28">
        <v>3165326461</v>
      </c>
      <c r="T133" s="35" t="s">
        <v>954</v>
      </c>
      <c r="U133" s="38" t="s">
        <v>955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147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149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137</v>
      </c>
      <c r="I134" s="14" t="s">
        <v>138</v>
      </c>
      <c r="J134" s="14" t="s">
        <v>956</v>
      </c>
      <c r="K134" s="14"/>
      <c r="L134" s="14" t="s">
        <v>4</v>
      </c>
      <c r="M134" s="14" t="s">
        <v>85</v>
      </c>
      <c r="N134" s="14" t="s">
        <v>957</v>
      </c>
      <c r="O134" s="14" t="s">
        <v>519</v>
      </c>
      <c r="P134" s="14" t="s">
        <v>958</v>
      </c>
      <c r="Q134" s="14" t="s">
        <v>143</v>
      </c>
      <c r="R134" s="14" t="s">
        <v>225</v>
      </c>
      <c r="S134" s="28">
        <v>3108603076</v>
      </c>
      <c r="T134" s="35">
        <v>3204247924</v>
      </c>
      <c r="U134" s="38" t="s">
        <v>959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147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960</v>
      </c>
      <c r="AN134" s="29"/>
    </row>
    <row r="135" spans="1:40" ht="29.1">
      <c r="A135" s="14">
        <v>3709764</v>
      </c>
      <c r="B135" s="14" t="s">
        <v>11</v>
      </c>
      <c r="C135" s="14" t="s">
        <v>346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137</v>
      </c>
      <c r="I135" s="14" t="s">
        <v>138</v>
      </c>
      <c r="J135" s="14" t="s">
        <v>961</v>
      </c>
      <c r="K135" s="14"/>
      <c r="L135" s="14" t="s">
        <v>4</v>
      </c>
      <c r="M135" s="14" t="s">
        <v>85</v>
      </c>
      <c r="N135" s="14" t="s">
        <v>962</v>
      </c>
      <c r="O135" s="14" t="s">
        <v>519</v>
      </c>
      <c r="P135" s="14" t="s">
        <v>963</v>
      </c>
      <c r="Q135" s="14" t="s">
        <v>143</v>
      </c>
      <c r="R135" s="14" t="s">
        <v>225</v>
      </c>
      <c r="S135" s="28">
        <v>3182433298</v>
      </c>
      <c r="T135" s="35" t="s">
        <v>460</v>
      </c>
      <c r="U135" s="38" t="s">
        <v>964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147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346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137</v>
      </c>
      <c r="I136" s="14" t="s">
        <v>138</v>
      </c>
      <c r="J136" s="14" t="s">
        <v>965</v>
      </c>
      <c r="K136" s="14"/>
      <c r="L136" s="14" t="s">
        <v>4</v>
      </c>
      <c r="M136" s="14" t="s">
        <v>85</v>
      </c>
      <c r="N136" s="14" t="s">
        <v>966</v>
      </c>
      <c r="O136" s="14" t="s">
        <v>519</v>
      </c>
      <c r="P136" s="14" t="s">
        <v>967</v>
      </c>
      <c r="Q136" s="14" t="s">
        <v>605</v>
      </c>
      <c r="R136" s="14" t="s">
        <v>535</v>
      </c>
      <c r="S136" s="28">
        <v>3173724085</v>
      </c>
      <c r="T136" s="35" t="s">
        <v>460</v>
      </c>
      <c r="U136" s="38" t="s">
        <v>968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147</v>
      </c>
      <c r="AD136" t="s">
        <v>58</v>
      </c>
      <c r="AE136">
        <v>3</v>
      </c>
      <c r="AF136" t="s">
        <v>29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346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137</v>
      </c>
      <c r="I137" s="14" t="s">
        <v>138</v>
      </c>
      <c r="J137" s="14" t="s">
        <v>969</v>
      </c>
      <c r="K137" s="14"/>
      <c r="L137" s="14" t="s">
        <v>4</v>
      </c>
      <c r="M137" s="14" t="s">
        <v>85</v>
      </c>
      <c r="N137" s="14" t="s">
        <v>970</v>
      </c>
      <c r="O137" s="14" t="s">
        <v>519</v>
      </c>
      <c r="P137" s="14" t="s">
        <v>971</v>
      </c>
      <c r="Q137" s="14" t="s">
        <v>605</v>
      </c>
      <c r="R137" s="14" t="s">
        <v>144</v>
      </c>
      <c r="S137" s="28">
        <v>3204805403</v>
      </c>
      <c r="T137" s="35" t="s">
        <v>460</v>
      </c>
      <c r="U137" s="38" t="s">
        <v>972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147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973</v>
      </c>
      <c r="AN137" s="29"/>
    </row>
    <row r="138" spans="1:40" ht="29.1">
      <c r="A138" s="14">
        <v>3713238</v>
      </c>
      <c r="B138" s="14" t="s">
        <v>76</v>
      </c>
      <c r="C138" s="14" t="s">
        <v>597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137</v>
      </c>
      <c r="I138" s="14" t="s">
        <v>138</v>
      </c>
      <c r="J138" s="14" t="s">
        <v>974</v>
      </c>
      <c r="K138" s="14"/>
      <c r="L138" s="14" t="s">
        <v>6</v>
      </c>
      <c r="M138" s="14" t="s">
        <v>165</v>
      </c>
      <c r="N138" s="14" t="s">
        <v>975</v>
      </c>
      <c r="O138" s="14" t="s">
        <v>499</v>
      </c>
      <c r="P138" s="14" t="s">
        <v>976</v>
      </c>
      <c r="Q138" s="14" t="s">
        <v>143</v>
      </c>
      <c r="R138" s="14" t="s">
        <v>193</v>
      </c>
      <c r="S138" s="28">
        <v>3012105965</v>
      </c>
      <c r="T138" s="35" t="s">
        <v>977</v>
      </c>
      <c r="U138" s="38" t="s">
        <v>978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147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188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137</v>
      </c>
      <c r="I139" s="14" t="s">
        <v>138</v>
      </c>
      <c r="J139" s="14" t="s">
        <v>979</v>
      </c>
      <c r="K139" s="14"/>
      <c r="L139" s="14" t="s">
        <v>4</v>
      </c>
      <c r="M139" s="14" t="s">
        <v>85</v>
      </c>
      <c r="N139" s="14" t="s">
        <v>980</v>
      </c>
      <c r="O139" s="14" t="s">
        <v>473</v>
      </c>
      <c r="P139" s="14" t="s">
        <v>981</v>
      </c>
      <c r="Q139" s="14" t="s">
        <v>143</v>
      </c>
      <c r="R139" s="14" t="s">
        <v>144</v>
      </c>
      <c r="S139" s="28" t="s">
        <v>982</v>
      </c>
      <c r="T139" s="35">
        <v>3223059423</v>
      </c>
      <c r="U139" s="38" t="s">
        <v>983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147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541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137</v>
      </c>
      <c r="I140" s="14" t="s">
        <v>138</v>
      </c>
      <c r="J140" s="14" t="s">
        <v>984</v>
      </c>
      <c r="K140" s="14"/>
      <c r="L140" s="14" t="s">
        <v>4</v>
      </c>
      <c r="M140" s="14" t="s">
        <v>85</v>
      </c>
      <c r="N140" s="14" t="s">
        <v>985</v>
      </c>
      <c r="O140" s="14" t="s">
        <v>473</v>
      </c>
      <c r="P140" s="14" t="s">
        <v>986</v>
      </c>
      <c r="Q140" s="14" t="s">
        <v>143</v>
      </c>
      <c r="R140" s="14" t="s">
        <v>987</v>
      </c>
      <c r="S140" s="28" t="s">
        <v>988</v>
      </c>
      <c r="T140" s="35" t="s">
        <v>295</v>
      </c>
      <c r="U140" s="38" t="s">
        <v>989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147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541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137</v>
      </c>
      <c r="I141" s="14" t="s">
        <v>138</v>
      </c>
      <c r="J141" s="14" t="s">
        <v>990</v>
      </c>
      <c r="K141" s="14"/>
      <c r="L141" s="14" t="s">
        <v>4</v>
      </c>
      <c r="M141" s="14" t="s">
        <v>85</v>
      </c>
      <c r="N141" s="14" t="s">
        <v>991</v>
      </c>
      <c r="O141" s="14" t="s">
        <v>473</v>
      </c>
      <c r="P141" s="14" t="s">
        <v>992</v>
      </c>
      <c r="Q141" s="14" t="s">
        <v>224</v>
      </c>
      <c r="R141" s="14" t="s">
        <v>225</v>
      </c>
      <c r="S141" s="28" t="s">
        <v>993</v>
      </c>
      <c r="T141" s="35" t="s">
        <v>295</v>
      </c>
      <c r="U141" s="38" t="s">
        <v>994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255</v>
      </c>
      <c r="AC141" t="s">
        <v>995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612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137</v>
      </c>
      <c r="I142" s="14" t="s">
        <v>138</v>
      </c>
      <c r="J142" s="14" t="s">
        <v>996</v>
      </c>
      <c r="K142" s="14"/>
      <c r="L142" s="14" t="s">
        <v>4</v>
      </c>
      <c r="M142" s="14" t="s">
        <v>85</v>
      </c>
      <c r="N142" s="14" t="s">
        <v>997</v>
      </c>
      <c r="O142" s="14" t="s">
        <v>473</v>
      </c>
      <c r="P142" s="14" t="s">
        <v>998</v>
      </c>
      <c r="Q142" s="14" t="s">
        <v>224</v>
      </c>
      <c r="R142" s="14" t="s">
        <v>225</v>
      </c>
      <c r="S142" s="28" t="s">
        <v>999</v>
      </c>
      <c r="T142" s="35" t="s">
        <v>1000</v>
      </c>
      <c r="U142" s="38" t="s">
        <v>1001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147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583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137</v>
      </c>
      <c r="I143" s="14" t="s">
        <v>138</v>
      </c>
      <c r="J143" s="14" t="s">
        <v>1002</v>
      </c>
      <c r="K143" s="14"/>
      <c r="L143" s="14" t="s">
        <v>6</v>
      </c>
      <c r="M143" s="14" t="s">
        <v>83</v>
      </c>
      <c r="N143" s="14" t="s">
        <v>1003</v>
      </c>
      <c r="O143" s="14" t="s">
        <v>499</v>
      </c>
      <c r="P143" s="14" t="s">
        <v>1004</v>
      </c>
      <c r="Q143" s="14" t="s">
        <v>605</v>
      </c>
      <c r="R143" s="14" t="s">
        <v>144</v>
      </c>
      <c r="S143" s="28">
        <v>3136361050</v>
      </c>
      <c r="T143" s="35" t="s">
        <v>460</v>
      </c>
      <c r="U143" s="38" t="s">
        <v>1005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147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583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137</v>
      </c>
      <c r="I144" s="14" t="s">
        <v>138</v>
      </c>
      <c r="J144" s="14" t="s">
        <v>1006</v>
      </c>
      <c r="K144" s="14"/>
      <c r="L144" s="14" t="s">
        <v>6</v>
      </c>
      <c r="M144" s="14" t="s">
        <v>83</v>
      </c>
      <c r="N144" s="14" t="s">
        <v>1007</v>
      </c>
      <c r="O144" s="14" t="s">
        <v>499</v>
      </c>
      <c r="P144" s="14" t="s">
        <v>1008</v>
      </c>
      <c r="Q144" s="14" t="s">
        <v>605</v>
      </c>
      <c r="R144" s="14" t="s">
        <v>535</v>
      </c>
      <c r="S144" s="28">
        <v>6043547700</v>
      </c>
      <c r="T144" s="35" t="s">
        <v>460</v>
      </c>
      <c r="U144" s="38" t="s">
        <v>1009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147</v>
      </c>
      <c r="AD144" t="s">
        <v>57</v>
      </c>
      <c r="AE144">
        <v>4</v>
      </c>
      <c r="AG144" t="s">
        <v>28</v>
      </c>
      <c r="AM144"/>
      <c r="AN144" s="29"/>
    </row>
    <row r="145" spans="1:40" ht="72.599999999999994">
      <c r="A145" s="14">
        <v>3717128</v>
      </c>
      <c r="B145" s="14" t="s">
        <v>67</v>
      </c>
      <c r="C145" s="14" t="s">
        <v>433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138</v>
      </c>
      <c r="J145" s="14" t="s">
        <v>1010</v>
      </c>
      <c r="K145" s="14"/>
      <c r="L145" s="14" t="s">
        <v>4</v>
      </c>
      <c r="M145" s="14" t="s">
        <v>85</v>
      </c>
      <c r="N145" s="14" t="s">
        <v>1011</v>
      </c>
      <c r="O145" s="14" t="s">
        <v>519</v>
      </c>
      <c r="P145" s="17" t="s">
        <v>1012</v>
      </c>
      <c r="Q145" s="14" t="s">
        <v>143</v>
      </c>
      <c r="R145" s="14" t="s">
        <v>912</v>
      </c>
      <c r="S145" s="28">
        <v>3185865206</v>
      </c>
      <c r="T145" s="35" t="s">
        <v>643</v>
      </c>
      <c r="U145" s="38" t="s">
        <v>1013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147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1014</v>
      </c>
      <c r="AN145" s="29" t="s">
        <v>1015</v>
      </c>
    </row>
    <row r="146" spans="1:40" ht="29.1">
      <c r="A146" s="14">
        <v>3717133</v>
      </c>
      <c r="B146" s="14" t="s">
        <v>67</v>
      </c>
      <c r="C146" s="14" t="s">
        <v>433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138</v>
      </c>
      <c r="J146" s="14" t="s">
        <v>1016</v>
      </c>
      <c r="K146" s="14"/>
      <c r="L146" s="14" t="s">
        <v>4</v>
      </c>
      <c r="M146" s="14" t="s">
        <v>85</v>
      </c>
      <c r="N146" s="14" t="s">
        <v>1017</v>
      </c>
      <c r="O146" s="14" t="s">
        <v>519</v>
      </c>
      <c r="P146" s="14" t="s">
        <v>1018</v>
      </c>
      <c r="Q146" s="14" t="s">
        <v>143</v>
      </c>
      <c r="R146" s="14" t="s">
        <v>144</v>
      </c>
      <c r="S146" s="28" t="s">
        <v>1019</v>
      </c>
      <c r="T146" s="35" t="s">
        <v>643</v>
      </c>
      <c r="U146" s="38" t="s">
        <v>1020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147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240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138</v>
      </c>
      <c r="J147" s="14" t="s">
        <v>1021</v>
      </c>
      <c r="K147" s="14" t="s">
        <v>1022</v>
      </c>
      <c r="L147" s="14" t="s">
        <v>4</v>
      </c>
      <c r="M147" s="14" t="s">
        <v>93</v>
      </c>
      <c r="N147" s="14" t="s">
        <v>1023</v>
      </c>
      <c r="O147" s="14" t="s">
        <v>519</v>
      </c>
      <c r="P147" s="14" t="s">
        <v>1024</v>
      </c>
      <c r="Q147" s="14" t="s">
        <v>143</v>
      </c>
      <c r="R147" s="14" t="s">
        <v>144</v>
      </c>
      <c r="S147" s="28" t="s">
        <v>1025</v>
      </c>
      <c r="T147" s="35" t="s">
        <v>1025</v>
      </c>
      <c r="U147" s="38" t="s">
        <v>1026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147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180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138</v>
      </c>
      <c r="J148" s="14" t="s">
        <v>1027</v>
      </c>
      <c r="K148" s="14"/>
      <c r="L148" s="14" t="s">
        <v>6</v>
      </c>
      <c r="M148" s="14" t="s">
        <v>165</v>
      </c>
      <c r="N148" s="14" t="s">
        <v>1028</v>
      </c>
      <c r="O148" s="14" t="s">
        <v>499</v>
      </c>
      <c r="P148" s="17" t="s">
        <v>1029</v>
      </c>
      <c r="Q148" s="14" t="s">
        <v>143</v>
      </c>
      <c r="R148" s="14" t="s">
        <v>144</v>
      </c>
      <c r="S148" s="28">
        <v>3162403226</v>
      </c>
      <c r="T148" s="35" t="s">
        <v>1030</v>
      </c>
      <c r="U148" s="44" t="s">
        <v>1031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147</v>
      </c>
      <c r="AD148" t="s">
        <v>57</v>
      </c>
      <c r="AE148">
        <v>5</v>
      </c>
      <c r="AG148" t="s">
        <v>1032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417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138</v>
      </c>
      <c r="J149" s="14" t="s">
        <v>1033</v>
      </c>
      <c r="K149" s="14"/>
      <c r="L149" s="14" t="s">
        <v>5</v>
      </c>
      <c r="M149" s="14" t="s">
        <v>140</v>
      </c>
      <c r="N149" s="14" t="s">
        <v>1034</v>
      </c>
      <c r="O149" s="14" t="s">
        <v>566</v>
      </c>
      <c r="P149" s="14" t="s">
        <v>1035</v>
      </c>
      <c r="Q149" s="14" t="s">
        <v>224</v>
      </c>
      <c r="R149" s="14" t="s">
        <v>225</v>
      </c>
      <c r="S149" s="28">
        <v>3167435645</v>
      </c>
      <c r="T149" s="35" t="s">
        <v>295</v>
      </c>
      <c r="U149" s="38" t="s">
        <v>1036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147</v>
      </c>
      <c r="AD149" t="s">
        <v>58</v>
      </c>
      <c r="AE149">
        <v>5</v>
      </c>
      <c r="AF149" t="s">
        <v>29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134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138</v>
      </c>
      <c r="J150" s="14" t="s">
        <v>1037</v>
      </c>
      <c r="K150" s="14"/>
      <c r="L150" s="14" t="s">
        <v>5</v>
      </c>
      <c r="M150" s="14" t="s">
        <v>140</v>
      </c>
      <c r="N150" s="14" t="s">
        <v>1038</v>
      </c>
      <c r="O150" s="14" t="s">
        <v>566</v>
      </c>
      <c r="P150" s="17" t="s">
        <v>1039</v>
      </c>
      <c r="Q150" s="14" t="s">
        <v>224</v>
      </c>
      <c r="R150" s="14" t="s">
        <v>225</v>
      </c>
      <c r="S150" s="28" t="s">
        <v>1040</v>
      </c>
      <c r="T150" s="35" t="s">
        <v>1041</v>
      </c>
      <c r="U150" s="38" t="s">
        <v>1042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147</v>
      </c>
      <c r="AD150" t="s">
        <v>57</v>
      </c>
      <c r="AE150">
        <v>5</v>
      </c>
      <c r="AG150" t="s">
        <v>31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845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138</v>
      </c>
      <c r="J151" s="14" t="s">
        <v>1043</v>
      </c>
      <c r="K151" s="14"/>
      <c r="L151" s="14" t="s">
        <v>6</v>
      </c>
      <c r="M151" s="14" t="s">
        <v>165</v>
      </c>
      <c r="N151" s="14" t="s">
        <v>1044</v>
      </c>
      <c r="O151" s="14" t="s">
        <v>499</v>
      </c>
      <c r="P151" s="14" t="s">
        <v>1045</v>
      </c>
      <c r="Q151" s="14" t="s">
        <v>605</v>
      </c>
      <c r="R151" s="14" t="s">
        <v>912</v>
      </c>
      <c r="S151" s="28" t="s">
        <v>1046</v>
      </c>
      <c r="T151" s="35">
        <v>3148881602</v>
      </c>
      <c r="U151" s="38" t="s">
        <v>1047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147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845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138</v>
      </c>
      <c r="J152" s="14" t="s">
        <v>1048</v>
      </c>
      <c r="K152" s="14"/>
      <c r="L152" s="14" t="s">
        <v>6</v>
      </c>
      <c r="M152" s="14" t="s">
        <v>165</v>
      </c>
      <c r="N152" s="14" t="s">
        <v>1049</v>
      </c>
      <c r="O152" s="14" t="s">
        <v>499</v>
      </c>
      <c r="P152" s="17" t="s">
        <v>1050</v>
      </c>
      <c r="Q152" s="14" t="s">
        <v>605</v>
      </c>
      <c r="R152" s="14" t="s">
        <v>912</v>
      </c>
      <c r="S152" s="28" t="s">
        <v>1051</v>
      </c>
      <c r="T152" s="35" t="s">
        <v>1052</v>
      </c>
      <c r="U152" s="38" t="s">
        <v>1053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147</v>
      </c>
      <c r="AD152" t="s">
        <v>57</v>
      </c>
      <c r="AE152">
        <v>5</v>
      </c>
      <c r="AG152" t="s">
        <v>31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188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138</v>
      </c>
      <c r="J153" s="14" t="s">
        <v>1054</v>
      </c>
      <c r="K153" s="14"/>
      <c r="L153" s="14" t="s">
        <v>4</v>
      </c>
      <c r="M153" s="14" t="s">
        <v>92</v>
      </c>
      <c r="N153" s="14" t="s">
        <v>1055</v>
      </c>
      <c r="O153" s="14" t="s">
        <v>473</v>
      </c>
      <c r="P153" s="17" t="s">
        <v>1056</v>
      </c>
      <c r="Q153" s="14" t="s">
        <v>605</v>
      </c>
      <c r="R153" s="14" t="s">
        <v>144</v>
      </c>
      <c r="S153" s="28">
        <v>3108711116</v>
      </c>
      <c r="T153" s="35">
        <v>3112239867</v>
      </c>
      <c r="U153" s="38" t="s">
        <v>1057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147</v>
      </c>
      <c r="AD153" t="s">
        <v>57</v>
      </c>
      <c r="AE153">
        <v>5</v>
      </c>
      <c r="AG153" t="s">
        <v>28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188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138</v>
      </c>
      <c r="J154" s="14" t="s">
        <v>1058</v>
      </c>
      <c r="K154" s="14"/>
      <c r="L154" s="14" t="s">
        <v>4</v>
      </c>
      <c r="M154" s="14" t="s">
        <v>92</v>
      </c>
      <c r="N154" s="14" t="s">
        <v>1059</v>
      </c>
      <c r="O154" s="14" t="s">
        <v>473</v>
      </c>
      <c r="P154" s="14" t="s">
        <v>1060</v>
      </c>
      <c r="Q154" s="14" t="s">
        <v>605</v>
      </c>
      <c r="R154" s="14" t="s">
        <v>193</v>
      </c>
      <c r="S154" s="28" t="s">
        <v>1061</v>
      </c>
      <c r="T154" s="35">
        <v>3108626217</v>
      </c>
      <c r="U154" s="38" t="s">
        <v>1062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147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602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138</v>
      </c>
      <c r="J155" s="14" t="s">
        <v>1063</v>
      </c>
      <c r="K155" s="14"/>
      <c r="L155" s="14" t="s">
        <v>4</v>
      </c>
      <c r="M155" s="14" t="s">
        <v>92</v>
      </c>
      <c r="N155" s="14" t="s">
        <v>1064</v>
      </c>
      <c r="O155" s="14" t="s">
        <v>473</v>
      </c>
      <c r="P155" s="14" t="s">
        <v>1065</v>
      </c>
      <c r="Q155" s="14" t="s">
        <v>143</v>
      </c>
      <c r="R155" s="14" t="s">
        <v>225</v>
      </c>
      <c r="S155" s="28">
        <v>3175736861</v>
      </c>
      <c r="T155" s="14" t="s">
        <v>1066</v>
      </c>
      <c r="U155" s="38" t="s">
        <v>1067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147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81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138</v>
      </c>
      <c r="J156" s="14" t="s">
        <v>1068</v>
      </c>
      <c r="K156" s="14"/>
      <c r="L156" s="14" t="s">
        <v>4</v>
      </c>
      <c r="M156" s="14" t="s">
        <v>85</v>
      </c>
      <c r="N156" s="14" t="s">
        <v>1069</v>
      </c>
      <c r="O156" s="14" t="s">
        <v>519</v>
      </c>
      <c r="P156" s="14" t="s">
        <v>1070</v>
      </c>
      <c r="Q156" s="14" t="s">
        <v>143</v>
      </c>
      <c r="R156" s="14" t="s">
        <v>144</v>
      </c>
      <c r="S156" s="28">
        <v>3142406629</v>
      </c>
      <c r="T156" s="14" t="s">
        <v>203</v>
      </c>
      <c r="U156" s="38" t="s">
        <v>1071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255</v>
      </c>
      <c r="AC156" t="s">
        <v>1072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138</v>
      </c>
      <c r="J157" s="14" t="s">
        <v>1073</v>
      </c>
      <c r="K157" s="14"/>
      <c r="L157" s="14" t="s">
        <v>4</v>
      </c>
      <c r="M157" s="14" t="s">
        <v>85</v>
      </c>
      <c r="N157" s="14" t="s">
        <v>1074</v>
      </c>
      <c r="O157" s="14" t="s">
        <v>473</v>
      </c>
      <c r="P157" s="14" t="s">
        <v>1075</v>
      </c>
      <c r="Q157" s="14" t="s">
        <v>224</v>
      </c>
      <c r="R157" s="14" t="s">
        <v>225</v>
      </c>
      <c r="S157" s="28">
        <v>3115156846</v>
      </c>
      <c r="T157" s="14" t="s">
        <v>1076</v>
      </c>
      <c r="U157" s="38" t="s">
        <v>1077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147</v>
      </c>
      <c r="AD157" t="s">
        <v>57</v>
      </c>
      <c r="AE157">
        <v>5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1078</v>
      </c>
      <c r="AN157" t="s">
        <v>1079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138</v>
      </c>
      <c r="J158" s="14" t="s">
        <v>1080</v>
      </c>
      <c r="K158" s="14" t="s">
        <v>1081</v>
      </c>
      <c r="L158" s="14" t="s">
        <v>4</v>
      </c>
      <c r="M158" s="14" t="s">
        <v>92</v>
      </c>
      <c r="N158" s="14" t="s">
        <v>1082</v>
      </c>
      <c r="O158" s="14" t="s">
        <v>473</v>
      </c>
      <c r="P158" s="14" t="s">
        <v>1083</v>
      </c>
      <c r="Q158" s="14" t="s">
        <v>143</v>
      </c>
      <c r="R158" s="14" t="s">
        <v>144</v>
      </c>
      <c r="S158" s="28">
        <v>3144544008</v>
      </c>
      <c r="T158" s="28" t="s">
        <v>737</v>
      </c>
      <c r="U158" s="38" t="s">
        <v>1084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147</v>
      </c>
      <c r="AD158" t="s">
        <v>57</v>
      </c>
      <c r="AE158">
        <v>5</v>
      </c>
      <c r="AG158" t="s">
        <v>1085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269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138</v>
      </c>
      <c r="J159" s="14" t="s">
        <v>1086</v>
      </c>
      <c r="K159" s="14"/>
      <c r="L159" s="14" t="s">
        <v>4</v>
      </c>
      <c r="M159" s="14" t="s">
        <v>85</v>
      </c>
      <c r="N159" s="14" t="s">
        <v>1087</v>
      </c>
      <c r="O159" s="14" t="s">
        <v>519</v>
      </c>
      <c r="P159" s="17" t="s">
        <v>1088</v>
      </c>
      <c r="Q159" s="14" t="s">
        <v>168</v>
      </c>
      <c r="R159" s="14" t="s">
        <v>225</v>
      </c>
      <c r="S159" s="28">
        <v>3118833395</v>
      </c>
      <c r="T159" s="14" t="s">
        <v>513</v>
      </c>
      <c r="U159" s="38" t="s">
        <v>1089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147</v>
      </c>
      <c r="AD159" t="s">
        <v>57</v>
      </c>
      <c r="AE159">
        <v>5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447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138</v>
      </c>
      <c r="J160" s="14" t="s">
        <v>1090</v>
      </c>
      <c r="K160" s="14"/>
      <c r="L160" s="14" t="s">
        <v>5</v>
      </c>
      <c r="M160" s="14" t="s">
        <v>140</v>
      </c>
      <c r="N160" s="14" t="s">
        <v>1091</v>
      </c>
      <c r="O160" s="14" t="s">
        <v>566</v>
      </c>
      <c r="P160" s="17" t="s">
        <v>1092</v>
      </c>
      <c r="Q160" s="14" t="s">
        <v>168</v>
      </c>
      <c r="R160" s="14" t="s">
        <v>144</v>
      </c>
      <c r="S160" s="28" t="s">
        <v>1093</v>
      </c>
      <c r="T160" s="28">
        <v>3185159468</v>
      </c>
      <c r="U160" s="38" t="s">
        <v>1094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147</v>
      </c>
      <c r="AD160" t="s">
        <v>57</v>
      </c>
      <c r="AE160">
        <v>5</v>
      </c>
    </row>
    <row r="161" spans="1:39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138</v>
      </c>
      <c r="J161" s="14" t="s">
        <v>932</v>
      </c>
      <c r="K161" s="14" t="s">
        <v>1095</v>
      </c>
      <c r="L161" s="14" t="s">
        <v>4</v>
      </c>
      <c r="M161" s="14" t="s">
        <v>92</v>
      </c>
      <c r="N161" s="14" t="s">
        <v>1096</v>
      </c>
      <c r="O161" s="14" t="s">
        <v>473</v>
      </c>
      <c r="P161" s="41" t="s">
        <v>1097</v>
      </c>
      <c r="Q161" s="14" t="s">
        <v>143</v>
      </c>
      <c r="R161" s="14" t="s">
        <v>144</v>
      </c>
      <c r="S161" s="28">
        <v>3144070708</v>
      </c>
      <c r="T161" s="28" t="s">
        <v>737</v>
      </c>
      <c r="U161" s="38" t="s">
        <v>1098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147</v>
      </c>
      <c r="AD161" t="s">
        <v>58</v>
      </c>
      <c r="AE161">
        <v>5</v>
      </c>
      <c r="AF161" t="s">
        <v>29</v>
      </c>
    </row>
    <row r="162" spans="1:39" ht="29.1">
      <c r="A162" s="14">
        <v>3728857</v>
      </c>
      <c r="B162" s="14" t="s">
        <v>82</v>
      </c>
      <c r="C162" s="14" t="s">
        <v>602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138</v>
      </c>
      <c r="J162" s="14" t="s">
        <v>1099</v>
      </c>
      <c r="K162" s="14"/>
      <c r="L162" s="14" t="s">
        <v>4</v>
      </c>
      <c r="M162" s="14" t="s">
        <v>92</v>
      </c>
      <c r="N162" s="14" t="s">
        <v>1100</v>
      </c>
      <c r="O162" s="14" t="s">
        <v>473</v>
      </c>
      <c r="P162" s="42" t="s">
        <v>1101</v>
      </c>
      <c r="Q162" s="14" t="s">
        <v>143</v>
      </c>
      <c r="R162" s="14" t="s">
        <v>144</v>
      </c>
      <c r="S162" s="28">
        <v>3212005248</v>
      </c>
      <c r="T162" s="14" t="s">
        <v>513</v>
      </c>
      <c r="U162" s="38" t="s">
        <v>1102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147</v>
      </c>
      <c r="AD162" t="s">
        <v>58</v>
      </c>
      <c r="AE162">
        <v>5</v>
      </c>
      <c r="AF162" t="s">
        <v>29</v>
      </c>
    </row>
    <row r="163" spans="1:39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138</v>
      </c>
      <c r="J163" s="14" t="s">
        <v>1103</v>
      </c>
      <c r="K163" s="14"/>
      <c r="L163" s="14" t="s">
        <v>4</v>
      </c>
      <c r="M163" s="14" t="s">
        <v>85</v>
      </c>
      <c r="N163" s="14" t="s">
        <v>1104</v>
      </c>
      <c r="O163" s="14" t="s">
        <v>473</v>
      </c>
      <c r="P163" s="40" t="s">
        <v>1105</v>
      </c>
      <c r="Q163" s="14" t="s">
        <v>143</v>
      </c>
      <c r="R163" s="14" t="s">
        <v>535</v>
      </c>
      <c r="S163" s="14" t="s">
        <v>1106</v>
      </c>
      <c r="T163" s="28">
        <v>3164665723</v>
      </c>
      <c r="U163" s="38" t="s">
        <v>1107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147</v>
      </c>
      <c r="AD163" t="s">
        <v>57</v>
      </c>
      <c r="AE163">
        <v>5</v>
      </c>
      <c r="AG163" t="s">
        <v>31</v>
      </c>
    </row>
    <row r="164" spans="1:39" ht="29.1">
      <c r="A164" s="14">
        <v>3732263</v>
      </c>
      <c r="B164" s="14" t="s">
        <v>68</v>
      </c>
      <c r="C164" s="14" t="s">
        <v>541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138</v>
      </c>
      <c r="J164" s="14" t="s">
        <v>1108</v>
      </c>
      <c r="K164" s="14"/>
      <c r="L164" s="14" t="s">
        <v>4</v>
      </c>
      <c r="M164" s="14" t="s">
        <v>85</v>
      </c>
      <c r="N164" s="14" t="s">
        <v>1109</v>
      </c>
      <c r="O164" s="14" t="s">
        <v>473</v>
      </c>
      <c r="P164" s="40" t="s">
        <v>1110</v>
      </c>
      <c r="Q164" s="14" t="s">
        <v>224</v>
      </c>
      <c r="R164" s="14" t="s">
        <v>225</v>
      </c>
      <c r="S164" s="28">
        <v>3202713662</v>
      </c>
      <c r="T164" s="28" t="s">
        <v>295</v>
      </c>
      <c r="U164" s="38" t="s">
        <v>1111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147</v>
      </c>
      <c r="AD164" t="s">
        <v>57</v>
      </c>
      <c r="AE164">
        <v>5</v>
      </c>
      <c r="AG164" t="s">
        <v>31</v>
      </c>
    </row>
    <row r="165" spans="1:39" ht="29.1">
      <c r="A165" s="14">
        <v>3732378</v>
      </c>
      <c r="B165" s="14" t="s">
        <v>64</v>
      </c>
      <c r="C165" s="14" t="s">
        <v>656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138</v>
      </c>
      <c r="J165" s="14" t="s">
        <v>1112</v>
      </c>
      <c r="K165" s="14"/>
      <c r="L165" s="14" t="s">
        <v>4</v>
      </c>
      <c r="M165" s="14" t="s">
        <v>85</v>
      </c>
      <c r="N165" s="14" t="s">
        <v>1113</v>
      </c>
      <c r="O165" s="14" t="s">
        <v>519</v>
      </c>
      <c r="P165" s="40" t="s">
        <v>1114</v>
      </c>
      <c r="Q165" s="14" t="s">
        <v>168</v>
      </c>
      <c r="R165" s="14" t="s">
        <v>480</v>
      </c>
      <c r="S165" s="28" t="s">
        <v>1115</v>
      </c>
      <c r="T165" s="28">
        <v>3138747117</v>
      </c>
      <c r="U165" s="38" t="s">
        <v>1116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147</v>
      </c>
      <c r="AD165" t="s">
        <v>59</v>
      </c>
      <c r="AE165">
        <v>5</v>
      </c>
      <c r="AG165" t="s">
        <v>28</v>
      </c>
      <c r="AH165" t="s">
        <v>44</v>
      </c>
      <c r="AI165" s="23">
        <v>46248</v>
      </c>
    </row>
    <row r="166" spans="1:39" ht="29.1">
      <c r="A166" s="14">
        <v>3732413</v>
      </c>
      <c r="B166" s="14" t="s">
        <v>64</v>
      </c>
      <c r="C166" s="14" t="s">
        <v>656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138</v>
      </c>
      <c r="J166" s="14" t="s">
        <v>1117</v>
      </c>
      <c r="K166" s="14"/>
      <c r="L166" s="14" t="s">
        <v>4</v>
      </c>
      <c r="M166" s="14" t="s">
        <v>85</v>
      </c>
      <c r="N166" s="14" t="s">
        <v>1118</v>
      </c>
      <c r="O166" s="14" t="s">
        <v>519</v>
      </c>
      <c r="P166" s="40" t="s">
        <v>1119</v>
      </c>
      <c r="Q166" s="14" t="s">
        <v>143</v>
      </c>
      <c r="R166" s="14" t="s">
        <v>144</v>
      </c>
      <c r="S166" s="28">
        <v>3212608047</v>
      </c>
      <c r="T166" s="35" t="s">
        <v>453</v>
      </c>
      <c r="U166" s="38" t="s">
        <v>1120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147</v>
      </c>
      <c r="AD166" t="s">
        <v>57</v>
      </c>
      <c r="AE166">
        <v>5</v>
      </c>
      <c r="AG166" t="s">
        <v>1032</v>
      </c>
      <c r="AM166"/>
    </row>
    <row r="167" spans="1:39" ht="29.1">
      <c r="A167" s="14">
        <v>3732448</v>
      </c>
      <c r="B167" s="14" t="s">
        <v>68</v>
      </c>
      <c r="C167" s="14" t="s">
        <v>541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138</v>
      </c>
      <c r="J167" s="14" t="s">
        <v>1121</v>
      </c>
      <c r="K167" s="14" t="s">
        <v>1122</v>
      </c>
      <c r="L167" s="14" t="s">
        <v>4</v>
      </c>
      <c r="M167" s="14" t="s">
        <v>85</v>
      </c>
      <c r="N167" s="14" t="s">
        <v>1123</v>
      </c>
      <c r="O167" s="14" t="s">
        <v>473</v>
      </c>
      <c r="P167" s="40" t="s">
        <v>1124</v>
      </c>
      <c r="Q167" s="14" t="s">
        <v>224</v>
      </c>
      <c r="R167" s="14" t="s">
        <v>225</v>
      </c>
      <c r="S167" s="28">
        <v>3108086186</v>
      </c>
      <c r="T167" s="35" t="s">
        <v>1125</v>
      </c>
      <c r="U167" s="38" t="s">
        <v>1126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147</v>
      </c>
      <c r="AD167" t="s">
        <v>58</v>
      </c>
      <c r="AE167">
        <v>5</v>
      </c>
      <c r="AF167" t="s">
        <v>45</v>
      </c>
      <c r="AM167"/>
    </row>
    <row r="168" spans="1:39" ht="29.1">
      <c r="A168" s="14">
        <v>3732430</v>
      </c>
      <c r="B168" s="14" t="s">
        <v>64</v>
      </c>
      <c r="C168" s="14" t="s">
        <v>656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138</v>
      </c>
      <c r="J168" s="14" t="s">
        <v>1127</v>
      </c>
      <c r="K168" s="14"/>
      <c r="L168" s="14" t="s">
        <v>4</v>
      </c>
      <c r="M168" s="14" t="s">
        <v>85</v>
      </c>
      <c r="N168" s="14" t="s">
        <v>1128</v>
      </c>
      <c r="O168" s="14" t="s">
        <v>519</v>
      </c>
      <c r="P168" s="40" t="s">
        <v>1129</v>
      </c>
      <c r="Q168" s="14" t="s">
        <v>143</v>
      </c>
      <c r="R168" s="14" t="s">
        <v>225</v>
      </c>
      <c r="S168" s="28">
        <v>3212608047</v>
      </c>
      <c r="T168" s="28" t="s">
        <v>1130</v>
      </c>
      <c r="U168" s="38" t="s">
        <v>1131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147</v>
      </c>
      <c r="AD168" t="s">
        <v>59</v>
      </c>
      <c r="AE168">
        <v>5</v>
      </c>
    </row>
    <row r="169" spans="1:39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138</v>
      </c>
      <c r="J169" s="14" t="s">
        <v>1132</v>
      </c>
      <c r="K169" s="14"/>
      <c r="L169" s="14" t="s">
        <v>5</v>
      </c>
      <c r="M169" s="14" t="s">
        <v>85</v>
      </c>
      <c r="N169" s="14" t="s">
        <v>1133</v>
      </c>
      <c r="O169" s="14" t="s">
        <v>473</v>
      </c>
      <c r="P169" s="40" t="s">
        <v>1134</v>
      </c>
      <c r="Q169" s="14" t="s">
        <v>143</v>
      </c>
      <c r="R169" s="14" t="s">
        <v>225</v>
      </c>
      <c r="S169" s="28">
        <v>3213793476</v>
      </c>
      <c r="T169" s="28" t="s">
        <v>1135</v>
      </c>
      <c r="U169" s="38" t="s">
        <v>1136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147</v>
      </c>
      <c r="AD169" t="s">
        <v>59</v>
      </c>
      <c r="AE169">
        <v>5</v>
      </c>
    </row>
    <row r="170" spans="1:39" ht="29.1">
      <c r="A170" s="14">
        <v>3732506</v>
      </c>
      <c r="B170" s="14" t="s">
        <v>64</v>
      </c>
      <c r="C170" s="14" t="s">
        <v>656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138</v>
      </c>
      <c r="J170" s="14" t="s">
        <v>1137</v>
      </c>
      <c r="K170" s="14"/>
      <c r="L170" s="14" t="s">
        <v>4</v>
      </c>
      <c r="M170" s="14" t="s">
        <v>85</v>
      </c>
      <c r="N170" s="14" t="s">
        <v>1138</v>
      </c>
      <c r="O170" s="14" t="s">
        <v>519</v>
      </c>
      <c r="P170" s="17" t="s">
        <v>1139</v>
      </c>
      <c r="Q170" s="14" t="s">
        <v>143</v>
      </c>
      <c r="R170" s="14" t="s">
        <v>144</v>
      </c>
      <c r="S170" s="28">
        <v>3175136361</v>
      </c>
      <c r="T170" s="28" t="s">
        <v>1140</v>
      </c>
      <c r="U170" s="38" t="s">
        <v>1141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147</v>
      </c>
      <c r="AD170" t="s">
        <v>59</v>
      </c>
      <c r="AE170">
        <v>5</v>
      </c>
    </row>
    <row r="171" spans="1:39" ht="29.1">
      <c r="A171" s="14">
        <v>3732657</v>
      </c>
      <c r="B171" s="14" t="s">
        <v>64</v>
      </c>
      <c r="C171" s="14" t="s">
        <v>656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138</v>
      </c>
      <c r="J171" s="14" t="s">
        <v>1142</v>
      </c>
      <c r="K171" s="14"/>
      <c r="L171" s="14" t="s">
        <v>4</v>
      </c>
      <c r="M171" s="14" t="s">
        <v>85</v>
      </c>
      <c r="N171" s="14" t="s">
        <v>1143</v>
      </c>
      <c r="O171" s="14" t="s">
        <v>519</v>
      </c>
      <c r="P171" s="17" t="s">
        <v>1144</v>
      </c>
      <c r="Q171" s="14" t="s">
        <v>224</v>
      </c>
      <c r="R171" s="14" t="s">
        <v>225</v>
      </c>
      <c r="S171" s="28" t="s">
        <v>1145</v>
      </c>
      <c r="T171" s="28">
        <v>321330000</v>
      </c>
      <c r="U171" s="38" t="s">
        <v>1146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147</v>
      </c>
      <c r="AD171" t="s">
        <v>57</v>
      </c>
      <c r="AE171">
        <v>5</v>
      </c>
      <c r="AG171" t="s">
        <v>1032</v>
      </c>
    </row>
    <row r="172" spans="1:39" ht="29.1">
      <c r="A172" s="14">
        <v>3732669</v>
      </c>
      <c r="B172" s="14" t="s">
        <v>64</v>
      </c>
      <c r="C172" s="14" t="s">
        <v>656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138</v>
      </c>
      <c r="J172" s="14" t="s">
        <v>1147</v>
      </c>
      <c r="K172" s="14"/>
      <c r="L172" s="14" t="s">
        <v>4</v>
      </c>
      <c r="M172" s="14" t="s">
        <v>85</v>
      </c>
      <c r="N172" s="14" t="s">
        <v>1148</v>
      </c>
      <c r="O172" s="14" t="s">
        <v>519</v>
      </c>
      <c r="P172" s="17" t="s">
        <v>1149</v>
      </c>
      <c r="Q172" s="14" t="s">
        <v>143</v>
      </c>
      <c r="R172" s="14" t="s">
        <v>144</v>
      </c>
      <c r="S172" s="28">
        <v>3124240343</v>
      </c>
      <c r="T172" s="28" t="s">
        <v>453</v>
      </c>
      <c r="U172" s="38" t="s">
        <v>1150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147</v>
      </c>
      <c r="AD172" t="s">
        <v>57</v>
      </c>
      <c r="AE172">
        <v>5</v>
      </c>
      <c r="AG172" t="s">
        <v>31</v>
      </c>
    </row>
    <row r="173" spans="1:39" ht="29.1">
      <c r="A173" s="14">
        <v>3732676</v>
      </c>
      <c r="B173" s="14" t="s">
        <v>64</v>
      </c>
      <c r="C173" s="14" t="s">
        <v>656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138</v>
      </c>
      <c r="J173" s="14" t="s">
        <v>1151</v>
      </c>
      <c r="K173" s="14"/>
      <c r="L173" s="14" t="s">
        <v>4</v>
      </c>
      <c r="M173" s="14" t="s">
        <v>85</v>
      </c>
      <c r="N173" s="14" t="s">
        <v>1152</v>
      </c>
      <c r="O173" s="14" t="s">
        <v>519</v>
      </c>
      <c r="P173" s="17" t="s">
        <v>1153</v>
      </c>
      <c r="Q173" s="14" t="s">
        <v>143</v>
      </c>
      <c r="R173" s="14" t="s">
        <v>144</v>
      </c>
      <c r="S173" s="28">
        <v>3214639597</v>
      </c>
      <c r="T173" s="28" t="s">
        <v>453</v>
      </c>
      <c r="U173" s="38" t="s">
        <v>1154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147</v>
      </c>
      <c r="AD173" t="s">
        <v>59</v>
      </c>
      <c r="AE173">
        <v>5</v>
      </c>
    </row>
    <row r="174" spans="1:39" ht="29.1">
      <c r="A174" s="14">
        <v>3735943</v>
      </c>
      <c r="B174" s="14" t="s">
        <v>17</v>
      </c>
      <c r="C174" s="14" t="s">
        <v>290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138</v>
      </c>
      <c r="J174" s="14" t="s">
        <v>1155</v>
      </c>
      <c r="K174" s="14"/>
      <c r="L174" s="14" t="s">
        <v>4</v>
      </c>
      <c r="M174" s="14" t="s">
        <v>85</v>
      </c>
      <c r="N174" s="14" t="s">
        <v>1156</v>
      </c>
      <c r="O174" s="14" t="s">
        <v>473</v>
      </c>
      <c r="P174" s="17" t="s">
        <v>1157</v>
      </c>
      <c r="Q174" s="14" t="s">
        <v>224</v>
      </c>
      <c r="R174" s="14" t="s">
        <v>225</v>
      </c>
      <c r="S174" s="28" t="s">
        <v>1158</v>
      </c>
      <c r="T174" s="28">
        <v>3143367125</v>
      </c>
      <c r="U174" s="38" t="s">
        <v>1159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147</v>
      </c>
      <c r="AD174" t="s">
        <v>58</v>
      </c>
      <c r="AE174">
        <v>5</v>
      </c>
      <c r="AF174" t="s">
        <v>29</v>
      </c>
    </row>
    <row r="175" spans="1:39" ht="29.1">
      <c r="A175" s="14">
        <v>3736014</v>
      </c>
      <c r="B175" s="14" t="s">
        <v>64</v>
      </c>
      <c r="C175" s="14" t="s">
        <v>656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138</v>
      </c>
      <c r="J175" s="14" t="s">
        <v>1160</v>
      </c>
      <c r="K175" s="14"/>
      <c r="L175" s="14" t="s">
        <v>4</v>
      </c>
      <c r="M175" s="14" t="s">
        <v>85</v>
      </c>
      <c r="N175" s="14" t="s">
        <v>1161</v>
      </c>
      <c r="O175" s="14" t="s">
        <v>519</v>
      </c>
      <c r="P175" s="17" t="s">
        <v>1162</v>
      </c>
      <c r="Q175" s="14" t="s">
        <v>143</v>
      </c>
      <c r="R175" s="14" t="s">
        <v>144</v>
      </c>
      <c r="S175" s="28">
        <v>3212608047</v>
      </c>
      <c r="T175" s="28" t="s">
        <v>453</v>
      </c>
      <c r="U175" s="38" t="s">
        <v>1163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147</v>
      </c>
      <c r="AD175" t="s">
        <v>59</v>
      </c>
      <c r="AE175">
        <v>5</v>
      </c>
    </row>
    <row r="176" spans="1:39" ht="29.1">
      <c r="A176" s="14">
        <v>3736083</v>
      </c>
      <c r="B176" s="14" t="s">
        <v>64</v>
      </c>
      <c r="C176" s="14" t="s">
        <v>656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138</v>
      </c>
      <c r="J176" s="14" t="s">
        <v>1164</v>
      </c>
      <c r="K176" s="14"/>
      <c r="L176" s="14" t="s">
        <v>4</v>
      </c>
      <c r="M176" s="14" t="s">
        <v>85</v>
      </c>
      <c r="N176" s="14" t="s">
        <v>1165</v>
      </c>
      <c r="O176" s="14" t="s">
        <v>519</v>
      </c>
      <c r="P176" s="17" t="s">
        <v>1166</v>
      </c>
      <c r="Q176" s="14" t="s">
        <v>168</v>
      </c>
      <c r="R176" s="14" t="s">
        <v>144</v>
      </c>
      <c r="S176" s="28" t="s">
        <v>1167</v>
      </c>
      <c r="T176" s="28" t="s">
        <v>453</v>
      </c>
      <c r="U176" s="38" t="s">
        <v>1168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147</v>
      </c>
      <c r="AD176" t="s">
        <v>57</v>
      </c>
      <c r="AE176">
        <v>5</v>
      </c>
      <c r="AG176" t="s">
        <v>1169</v>
      </c>
    </row>
    <row r="177" spans="1:33" ht="29.1">
      <c r="A177" s="14">
        <v>3736120</v>
      </c>
      <c r="B177" s="14" t="s">
        <v>64</v>
      </c>
      <c r="C177" s="14" t="s">
        <v>656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138</v>
      </c>
      <c r="J177" s="14" t="s">
        <v>1170</v>
      </c>
      <c r="K177" s="14" t="s">
        <v>1171</v>
      </c>
      <c r="L177" s="14" t="s">
        <v>4</v>
      </c>
      <c r="M177" s="14" t="s">
        <v>85</v>
      </c>
      <c r="N177" s="14" t="s">
        <v>1172</v>
      </c>
      <c r="O177" s="14" t="s">
        <v>519</v>
      </c>
      <c r="P177" s="17" t="s">
        <v>1173</v>
      </c>
      <c r="Q177" s="14" t="s">
        <v>143</v>
      </c>
      <c r="R177" s="14" t="s">
        <v>144</v>
      </c>
      <c r="S177" s="28" t="s">
        <v>1167</v>
      </c>
      <c r="T177" s="28" t="s">
        <v>453</v>
      </c>
      <c r="U177" s="38" t="s">
        <v>1174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147</v>
      </c>
      <c r="AD177" t="s">
        <v>57</v>
      </c>
      <c r="AE177">
        <v>5</v>
      </c>
    </row>
    <row r="178" spans="1:33" ht="29.1">
      <c r="A178" s="14">
        <v>3736312</v>
      </c>
      <c r="B178" s="14" t="s">
        <v>80</v>
      </c>
      <c r="C178" s="14" t="s">
        <v>447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138</v>
      </c>
      <c r="J178" s="14" t="s">
        <v>1175</v>
      </c>
      <c r="K178" s="14"/>
      <c r="L178" s="14" t="s">
        <v>5</v>
      </c>
      <c r="M178" s="14" t="s">
        <v>140</v>
      </c>
      <c r="N178" s="14" t="s">
        <v>1176</v>
      </c>
      <c r="O178" s="14" t="s">
        <v>566</v>
      </c>
      <c r="P178" s="46" t="s">
        <v>1177</v>
      </c>
      <c r="Q178" s="14" t="s">
        <v>224</v>
      </c>
      <c r="R178" s="14" t="s">
        <v>225</v>
      </c>
      <c r="S178" s="28" t="s">
        <v>1178</v>
      </c>
      <c r="T178" s="28">
        <v>3156401469</v>
      </c>
      <c r="U178" s="38" t="s">
        <v>1179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147</v>
      </c>
      <c r="AD178" t="s">
        <v>59</v>
      </c>
      <c r="AE178">
        <v>5</v>
      </c>
    </row>
    <row r="179" spans="1:33" ht="29.1">
      <c r="A179" s="14">
        <v>3739462</v>
      </c>
      <c r="B179" s="14" t="s">
        <v>81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138</v>
      </c>
      <c r="J179" s="14" t="s">
        <v>1180</v>
      </c>
      <c r="K179" s="14"/>
      <c r="L179" s="14" t="s">
        <v>4</v>
      </c>
      <c r="M179" s="14" t="s">
        <v>85</v>
      </c>
      <c r="N179" s="14" t="s">
        <v>1181</v>
      </c>
      <c r="O179" s="14" t="s">
        <v>519</v>
      </c>
      <c r="P179" s="17" t="s">
        <v>1182</v>
      </c>
      <c r="Q179" s="14" t="s">
        <v>143</v>
      </c>
      <c r="R179" s="14" t="s">
        <v>144</v>
      </c>
      <c r="S179" s="28">
        <v>3214639597</v>
      </c>
      <c r="T179" s="28">
        <v>3022964506</v>
      </c>
      <c r="U179" s="38" t="s">
        <v>1183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147</v>
      </c>
      <c r="AD179" t="s">
        <v>59</v>
      </c>
      <c r="AE179">
        <v>5</v>
      </c>
    </row>
    <row r="180" spans="1:33" ht="29.1">
      <c r="A180" s="14">
        <v>3739465</v>
      </c>
      <c r="B180" s="14" t="s">
        <v>81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138</v>
      </c>
      <c r="J180" s="14" t="s">
        <v>1184</v>
      </c>
      <c r="K180" s="14"/>
      <c r="L180" s="14" t="s">
        <v>4</v>
      </c>
      <c r="M180" s="14" t="s">
        <v>85</v>
      </c>
      <c r="N180" s="14" t="s">
        <v>1185</v>
      </c>
      <c r="O180" s="14" t="s">
        <v>519</v>
      </c>
      <c r="P180" s="17" t="s">
        <v>1186</v>
      </c>
      <c r="Q180" s="14" t="s">
        <v>143</v>
      </c>
      <c r="R180" s="14" t="s">
        <v>144</v>
      </c>
      <c r="S180" s="28">
        <v>3112163546</v>
      </c>
      <c r="T180" s="28" t="s">
        <v>276</v>
      </c>
      <c r="U180" s="38" t="s">
        <v>1187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147</v>
      </c>
      <c r="AD180" t="s">
        <v>59</v>
      </c>
      <c r="AE180">
        <v>5</v>
      </c>
    </row>
    <row r="181" spans="1:33" ht="29.1">
      <c r="A181" s="14">
        <v>3742510</v>
      </c>
      <c r="B181" s="14" t="s">
        <v>81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138</v>
      </c>
      <c r="J181" s="14" t="s">
        <v>1188</v>
      </c>
      <c r="K181" s="14"/>
      <c r="L181" s="14" t="s">
        <v>4</v>
      </c>
      <c r="M181" s="14" t="s">
        <v>85</v>
      </c>
      <c r="N181" s="14" t="s">
        <v>1189</v>
      </c>
      <c r="O181" s="14" t="s">
        <v>519</v>
      </c>
      <c r="P181" s="17" t="s">
        <v>1190</v>
      </c>
      <c r="Q181" s="14" t="s">
        <v>224</v>
      </c>
      <c r="R181" s="14" t="s">
        <v>225</v>
      </c>
      <c r="S181" s="28">
        <v>3182433298</v>
      </c>
      <c r="T181" s="28" t="s">
        <v>276</v>
      </c>
      <c r="U181" s="38" t="s">
        <v>1191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255</v>
      </c>
      <c r="AC181" t="s">
        <v>995</v>
      </c>
      <c r="AD181" t="s">
        <v>58</v>
      </c>
      <c r="AE181">
        <v>5</v>
      </c>
      <c r="AF181" t="s">
        <v>50</v>
      </c>
    </row>
    <row r="182" spans="1:33" ht="29.1">
      <c r="A182" s="14">
        <v>3742517</v>
      </c>
      <c r="B182" s="14" t="s">
        <v>81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138</v>
      </c>
      <c r="J182" s="14" t="s">
        <v>1192</v>
      </c>
      <c r="K182" s="14"/>
      <c r="L182" s="14" t="s">
        <v>4</v>
      </c>
      <c r="M182" s="14" t="s">
        <v>85</v>
      </c>
      <c r="N182" s="14" t="s">
        <v>1193</v>
      </c>
      <c r="O182" s="14" t="s">
        <v>519</v>
      </c>
      <c r="P182" s="17" t="s">
        <v>1194</v>
      </c>
      <c r="Q182" s="14" t="s">
        <v>224</v>
      </c>
      <c r="R182" s="14" t="s">
        <v>225</v>
      </c>
      <c r="S182" s="28">
        <v>3202713662</v>
      </c>
      <c r="T182" s="28" t="s">
        <v>1195</v>
      </c>
      <c r="U182" s="38" t="s">
        <v>1196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147</v>
      </c>
      <c r="AD182" t="s">
        <v>59</v>
      </c>
      <c r="AE182">
        <v>5</v>
      </c>
    </row>
    <row r="183" spans="1:33" ht="29.1">
      <c r="A183" s="14">
        <v>3742543</v>
      </c>
      <c r="B183" s="14" t="s">
        <v>81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138</v>
      </c>
      <c r="J183" s="14" t="s">
        <v>1197</v>
      </c>
      <c r="K183" s="14"/>
      <c r="L183" s="14" t="s">
        <v>4</v>
      </c>
      <c r="M183" s="14" t="s">
        <v>85</v>
      </c>
      <c r="N183" s="14" t="s">
        <v>1198</v>
      </c>
      <c r="O183" s="14" t="s">
        <v>519</v>
      </c>
      <c r="P183" s="17" t="s">
        <v>1199</v>
      </c>
      <c r="Q183" s="14" t="s">
        <v>143</v>
      </c>
      <c r="R183" s="14" t="s">
        <v>225</v>
      </c>
      <c r="S183" s="28">
        <v>3112622844</v>
      </c>
      <c r="T183" s="28" t="s">
        <v>276</v>
      </c>
      <c r="U183" s="38" t="s">
        <v>1200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147</v>
      </c>
      <c r="AD183" t="s">
        <v>59</v>
      </c>
      <c r="AE183">
        <v>5</v>
      </c>
    </row>
    <row r="184" spans="1:33" ht="29.1">
      <c r="A184" s="14">
        <v>3742663</v>
      </c>
      <c r="B184" s="14" t="s">
        <v>81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138</v>
      </c>
      <c r="J184" s="14" t="s">
        <v>1201</v>
      </c>
      <c r="K184" s="14" t="s">
        <v>1202</v>
      </c>
      <c r="L184" s="14" t="s">
        <v>4</v>
      </c>
      <c r="M184" s="14" t="s">
        <v>85</v>
      </c>
      <c r="N184" s="14" t="s">
        <v>1203</v>
      </c>
      <c r="O184" s="14" t="s">
        <v>519</v>
      </c>
      <c r="P184" s="17" t="s">
        <v>1204</v>
      </c>
      <c r="Q184" s="14" t="s">
        <v>143</v>
      </c>
      <c r="R184" s="14" t="s">
        <v>225</v>
      </c>
      <c r="S184" s="28">
        <v>3118989600</v>
      </c>
      <c r="T184" s="28" t="s">
        <v>276</v>
      </c>
      <c r="U184" s="38" t="s">
        <v>1205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147</v>
      </c>
      <c r="AD184" t="s">
        <v>58</v>
      </c>
      <c r="AE184">
        <v>5</v>
      </c>
      <c r="AF184" t="s">
        <v>29</v>
      </c>
    </row>
    <row r="185" spans="1:33" ht="29.1">
      <c r="A185" s="14">
        <v>3748950</v>
      </c>
      <c r="B185" s="14" t="s">
        <v>66</v>
      </c>
      <c r="C185" s="14" t="s">
        <v>417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138</v>
      </c>
      <c r="J185" s="14" t="s">
        <v>1206</v>
      </c>
      <c r="K185" s="14"/>
      <c r="L185" s="14" t="s">
        <v>5</v>
      </c>
      <c r="M185" s="14" t="s">
        <v>140</v>
      </c>
      <c r="N185" s="14" t="s">
        <v>1207</v>
      </c>
      <c r="O185" s="14" t="s">
        <v>566</v>
      </c>
      <c r="P185" s="17" t="s">
        <v>1208</v>
      </c>
      <c r="Q185" s="14" t="s">
        <v>143</v>
      </c>
      <c r="R185" s="14" t="s">
        <v>144</v>
      </c>
      <c r="S185" s="28">
        <v>3005997366</v>
      </c>
      <c r="T185" s="28" t="s">
        <v>1209</v>
      </c>
      <c r="U185" s="38" t="s">
        <v>1210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147</v>
      </c>
      <c r="AD185" t="s">
        <v>59</v>
      </c>
      <c r="AE185">
        <v>6</v>
      </c>
    </row>
    <row r="186" spans="1:33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138</v>
      </c>
      <c r="J186" s="14" t="s">
        <v>1211</v>
      </c>
      <c r="K186" s="14"/>
      <c r="L186" s="14" t="s">
        <v>4</v>
      </c>
      <c r="M186" s="14" t="s">
        <v>92</v>
      </c>
      <c r="N186" s="14" t="s">
        <v>1212</v>
      </c>
      <c r="O186" s="14" t="s">
        <v>473</v>
      </c>
      <c r="P186" s="17" t="s">
        <v>1213</v>
      </c>
      <c r="Q186" s="14" t="s">
        <v>168</v>
      </c>
      <c r="R186" s="14" t="s">
        <v>535</v>
      </c>
      <c r="S186" s="28">
        <v>3144474791</v>
      </c>
      <c r="T186" s="28" t="s">
        <v>737</v>
      </c>
      <c r="U186" s="38" t="s">
        <v>1214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147</v>
      </c>
      <c r="AD186" t="s">
        <v>57</v>
      </c>
      <c r="AE186">
        <v>6</v>
      </c>
      <c r="AG186" t="s">
        <v>1032</v>
      </c>
    </row>
    <row r="187" spans="1:33" ht="29.1">
      <c r="A187" s="14">
        <v>3749171</v>
      </c>
      <c r="B187" s="14" t="s">
        <v>67</v>
      </c>
      <c r="C187" s="14" t="s">
        <v>433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138</v>
      </c>
      <c r="J187" s="14" t="s">
        <v>1215</v>
      </c>
      <c r="K187" s="14"/>
      <c r="L187" s="14" t="s">
        <v>4</v>
      </c>
      <c r="M187" s="14" t="s">
        <v>85</v>
      </c>
      <c r="N187" s="14" t="s">
        <v>1216</v>
      </c>
      <c r="O187" s="14" t="s">
        <v>519</v>
      </c>
      <c r="P187" s="17" t="s">
        <v>1217</v>
      </c>
      <c r="Q187" s="14" t="s">
        <v>224</v>
      </c>
      <c r="R187" s="14" t="s">
        <v>144</v>
      </c>
      <c r="S187" s="28" t="s">
        <v>1218</v>
      </c>
      <c r="T187" s="28" t="s">
        <v>643</v>
      </c>
      <c r="U187" s="38" t="s">
        <v>1219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  <c r="Z187" t="s">
        <v>147</v>
      </c>
      <c r="AD187" t="s">
        <v>59</v>
      </c>
      <c r="AE187">
        <v>6</v>
      </c>
    </row>
    <row r="188" spans="1:33" ht="29.1">
      <c r="A188" s="14">
        <v>3749175</v>
      </c>
      <c r="B188" s="14" t="s">
        <v>67</v>
      </c>
      <c r="C188" s="14" t="s">
        <v>433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138</v>
      </c>
      <c r="J188" s="14" t="s">
        <v>1220</v>
      </c>
      <c r="K188" s="14"/>
      <c r="L188" s="14" t="s">
        <v>4</v>
      </c>
      <c r="M188" s="14" t="s">
        <v>85</v>
      </c>
      <c r="N188" s="14" t="s">
        <v>1221</v>
      </c>
      <c r="O188" s="14" t="s">
        <v>519</v>
      </c>
      <c r="P188" s="17" t="s">
        <v>1222</v>
      </c>
      <c r="Q188" s="14" t="s">
        <v>224</v>
      </c>
      <c r="R188" s="14" t="s">
        <v>144</v>
      </c>
      <c r="S188" s="28">
        <v>3202758832</v>
      </c>
      <c r="T188" s="28" t="s">
        <v>643</v>
      </c>
      <c r="U188" s="38" t="s">
        <v>1223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  <c r="Z188" t="s">
        <v>147</v>
      </c>
      <c r="AD188" t="s">
        <v>59</v>
      </c>
      <c r="AE188">
        <v>6</v>
      </c>
    </row>
    <row r="189" spans="1:33" ht="29.1">
      <c r="A189" s="14">
        <v>3749005</v>
      </c>
      <c r="B189" s="14" t="s">
        <v>11</v>
      </c>
      <c r="C189" s="14" t="s">
        <v>346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138</v>
      </c>
      <c r="J189" s="14" t="s">
        <v>1224</v>
      </c>
      <c r="K189" s="14"/>
      <c r="L189" s="14" t="s">
        <v>4</v>
      </c>
      <c r="M189" s="14" t="s">
        <v>85</v>
      </c>
      <c r="N189" s="14" t="s">
        <v>1225</v>
      </c>
      <c r="O189" s="14" t="s">
        <v>519</v>
      </c>
      <c r="P189" s="17" t="s">
        <v>1226</v>
      </c>
      <c r="Q189" s="14" t="s">
        <v>143</v>
      </c>
      <c r="R189" s="14" t="s">
        <v>144</v>
      </c>
      <c r="S189" s="28" t="s">
        <v>1227</v>
      </c>
      <c r="T189" s="28" t="s">
        <v>460</v>
      </c>
      <c r="U189" s="38" t="s">
        <v>1228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  <c r="Z189" t="s">
        <v>147</v>
      </c>
      <c r="AD189" t="s">
        <v>57</v>
      </c>
      <c r="AE189">
        <v>6</v>
      </c>
      <c r="AG189" t="s">
        <v>31</v>
      </c>
    </row>
    <row r="190" spans="1:33" ht="27" customHeight="1">
      <c r="A190" s="14">
        <v>3754063</v>
      </c>
      <c r="B190" s="14" t="s">
        <v>17</v>
      </c>
      <c r="C190" s="14" t="s">
        <v>290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138</v>
      </c>
      <c r="J190" s="14" t="s">
        <v>1229</v>
      </c>
      <c r="K190" s="14"/>
      <c r="L190" s="14" t="s">
        <v>4</v>
      </c>
      <c r="M190" s="14" t="s">
        <v>85</v>
      </c>
      <c r="N190" s="14" t="s">
        <v>1230</v>
      </c>
      <c r="O190" s="14" t="s">
        <v>473</v>
      </c>
      <c r="P190" s="17" t="s">
        <v>1231</v>
      </c>
      <c r="Q190" s="14" t="s">
        <v>143</v>
      </c>
      <c r="R190" s="14" t="s">
        <v>144</v>
      </c>
      <c r="S190" s="28" t="s">
        <v>1232</v>
      </c>
      <c r="T190" s="28">
        <v>3176550456</v>
      </c>
      <c r="U190" s="38" t="s">
        <v>1233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  <c r="Z190" t="s">
        <v>147</v>
      </c>
      <c r="AD190" t="s">
        <v>59</v>
      </c>
      <c r="AE190">
        <v>6</v>
      </c>
    </row>
    <row r="191" spans="1:33" ht="30.95" customHeight="1">
      <c r="A191" s="14">
        <v>3754068</v>
      </c>
      <c r="B191" s="14" t="s">
        <v>17</v>
      </c>
      <c r="C191" s="14" t="s">
        <v>290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138</v>
      </c>
      <c r="J191" s="14" t="s">
        <v>1234</v>
      </c>
      <c r="K191" s="14"/>
      <c r="L191" s="14" t="s">
        <v>4</v>
      </c>
      <c r="M191" s="14" t="s">
        <v>85</v>
      </c>
      <c r="N191" s="14" t="s">
        <v>1235</v>
      </c>
      <c r="O191" s="14" t="s">
        <v>473</v>
      </c>
      <c r="P191" s="17" t="s">
        <v>1236</v>
      </c>
      <c r="Q191" s="14" t="s">
        <v>168</v>
      </c>
      <c r="R191" s="14" t="s">
        <v>176</v>
      </c>
      <c r="S191" s="28">
        <v>3103468092</v>
      </c>
      <c r="T191" s="28" t="s">
        <v>295</v>
      </c>
      <c r="U191" s="38" t="s">
        <v>1237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  <c r="Z191" t="s">
        <v>147</v>
      </c>
      <c r="AD191" t="s">
        <v>57</v>
      </c>
      <c r="AE191">
        <v>6</v>
      </c>
      <c r="AG191" t="s">
        <v>28</v>
      </c>
    </row>
    <row r="192" spans="1:33" ht="29.1">
      <c r="A192" s="14">
        <v>3754324</v>
      </c>
      <c r="B192" s="14" t="s">
        <v>64</v>
      </c>
      <c r="C192" s="14" t="s">
        <v>656</v>
      </c>
      <c r="D192" s="24">
        <v>46245</v>
      </c>
      <c r="E192" s="24">
        <v>46245</v>
      </c>
      <c r="F192" s="25">
        <v>0.85486111111111107</v>
      </c>
      <c r="G192" s="14">
        <v>2026</v>
      </c>
      <c r="H192" s="14">
        <v>8</v>
      </c>
      <c r="I192" s="14" t="s">
        <v>138</v>
      </c>
      <c r="J192" s="14" t="s">
        <v>1238</v>
      </c>
      <c r="K192" s="14"/>
      <c r="L192" s="14" t="s">
        <v>4</v>
      </c>
      <c r="M192" s="14" t="s">
        <v>243</v>
      </c>
      <c r="N192" s="14" t="s">
        <v>1239</v>
      </c>
      <c r="O192" s="14" t="s">
        <v>519</v>
      </c>
      <c r="P192" s="17" t="s">
        <v>1240</v>
      </c>
      <c r="Q192" s="14" t="s">
        <v>605</v>
      </c>
      <c r="R192" s="14" t="s">
        <v>144</v>
      </c>
      <c r="S192" s="28" t="s">
        <v>1241</v>
      </c>
      <c r="T192" s="28">
        <v>3142853675</v>
      </c>
      <c r="U192" s="38" t="s">
        <v>1242</v>
      </c>
      <c r="V192">
        <f t="shared" ref="V192" si="45">WEEKNUM(E192)</f>
        <v>33</v>
      </c>
      <c r="W192">
        <f t="shared" ref="W192" si="46">MONTH(E192)</f>
        <v>8</v>
      </c>
      <c r="X192">
        <f t="shared" ref="X192" si="47">YEAR(E192)</f>
        <v>2026</v>
      </c>
      <c r="Y192" t="str">
        <f t="shared" ref="Y192" si="48">_xlfn.CONCAT(V192,"-",X192)</f>
        <v>33-2026</v>
      </c>
      <c r="Z192" t="s">
        <v>147</v>
      </c>
      <c r="AD192" t="s">
        <v>57</v>
      </c>
      <c r="AE192">
        <v>6</v>
      </c>
      <c r="AG192" t="s">
        <v>31</v>
      </c>
    </row>
    <row r="193" spans="1:33" ht="29.1">
      <c r="A193" s="14">
        <v>3757444</v>
      </c>
      <c r="B193" s="14" t="s">
        <v>70</v>
      </c>
      <c r="C193" s="14" t="s">
        <v>554</v>
      </c>
      <c r="D193" s="24">
        <v>46246</v>
      </c>
      <c r="E193" s="24">
        <v>46246</v>
      </c>
      <c r="F193" s="25">
        <v>0.38958333333333334</v>
      </c>
      <c r="G193" s="14">
        <v>2026</v>
      </c>
      <c r="H193" s="14">
        <v>8</v>
      </c>
      <c r="I193" s="14" t="s">
        <v>138</v>
      </c>
      <c r="J193" s="14" t="s">
        <v>1243</v>
      </c>
      <c r="K193" s="14"/>
      <c r="L193" s="14" t="s">
        <v>4</v>
      </c>
      <c r="M193" s="14" t="s">
        <v>85</v>
      </c>
      <c r="N193" s="14" t="s">
        <v>1244</v>
      </c>
      <c r="O193" s="14" t="s">
        <v>519</v>
      </c>
      <c r="P193" s="17" t="s">
        <v>1245</v>
      </c>
      <c r="Q193" s="14" t="s">
        <v>224</v>
      </c>
      <c r="R193" s="14" t="s">
        <v>144</v>
      </c>
      <c r="S193" s="28">
        <v>3196925525</v>
      </c>
      <c r="T193" s="28" t="s">
        <v>1246</v>
      </c>
      <c r="U193" s="38" t="s">
        <v>1247</v>
      </c>
      <c r="V193">
        <f t="shared" ref="V193:V208" si="49">WEEKNUM(E193)</f>
        <v>33</v>
      </c>
      <c r="W193">
        <f t="shared" ref="W193:W208" si="50">MONTH(E193)</f>
        <v>8</v>
      </c>
      <c r="X193">
        <f t="shared" ref="X193:X208" si="51">YEAR(E193)</f>
        <v>2026</v>
      </c>
      <c r="Y193" t="str">
        <f t="shared" ref="Y193:Y208" si="52">_xlfn.CONCAT(V193,"-",X193)</f>
        <v>33-2026</v>
      </c>
      <c r="Z193" t="s">
        <v>147</v>
      </c>
      <c r="AD193" t="s">
        <v>59</v>
      </c>
      <c r="AE193">
        <v>6</v>
      </c>
    </row>
    <row r="194" spans="1:33" ht="29.1">
      <c r="A194" s="14">
        <v>3757464</v>
      </c>
      <c r="B194" s="14" t="s">
        <v>70</v>
      </c>
      <c r="C194" s="14" t="s">
        <v>554</v>
      </c>
      <c r="D194" s="24">
        <v>46246</v>
      </c>
      <c r="E194" s="24">
        <v>46246</v>
      </c>
      <c r="F194" s="25">
        <v>0.40902777777777777</v>
      </c>
      <c r="G194" s="14">
        <v>2026</v>
      </c>
      <c r="H194" s="14">
        <v>8</v>
      </c>
      <c r="I194" s="14" t="s">
        <v>138</v>
      </c>
      <c r="J194" s="14" t="s">
        <v>1248</v>
      </c>
      <c r="K194" s="14"/>
      <c r="L194" s="14" t="s">
        <v>4</v>
      </c>
      <c r="M194" s="14" t="s">
        <v>85</v>
      </c>
      <c r="N194" s="14" t="s">
        <v>1249</v>
      </c>
      <c r="O194" s="14" t="s">
        <v>519</v>
      </c>
      <c r="P194" s="17" t="s">
        <v>1250</v>
      </c>
      <c r="Q194" s="14" t="s">
        <v>143</v>
      </c>
      <c r="R194" s="14" t="s">
        <v>144</v>
      </c>
      <c r="S194" s="28">
        <v>3196925525</v>
      </c>
      <c r="T194" s="28" t="s">
        <v>1251</v>
      </c>
      <c r="U194" s="38" t="s">
        <v>1252</v>
      </c>
      <c r="V194">
        <f t="shared" si="49"/>
        <v>33</v>
      </c>
      <c r="W194">
        <f t="shared" si="50"/>
        <v>8</v>
      </c>
      <c r="X194">
        <f t="shared" si="51"/>
        <v>2026</v>
      </c>
      <c r="Y194" t="str">
        <f t="shared" si="52"/>
        <v>33-2026</v>
      </c>
      <c r="Z194" t="s">
        <v>147</v>
      </c>
      <c r="AD194" t="s">
        <v>59</v>
      </c>
      <c r="AE194">
        <v>6</v>
      </c>
    </row>
    <row r="195" spans="1:33" ht="29.1">
      <c r="A195" s="14">
        <v>3757531</v>
      </c>
      <c r="B195" s="14" t="s">
        <v>70</v>
      </c>
      <c r="C195" s="14" t="s">
        <v>554</v>
      </c>
      <c r="D195" s="24">
        <v>46246</v>
      </c>
      <c r="E195" s="24">
        <v>46246</v>
      </c>
      <c r="F195" s="25">
        <v>0.46527777777777779</v>
      </c>
      <c r="G195" s="14">
        <v>2026</v>
      </c>
      <c r="H195" s="14">
        <v>8</v>
      </c>
      <c r="I195" s="14" t="s">
        <v>138</v>
      </c>
      <c r="J195" s="14" t="s">
        <v>874</v>
      </c>
      <c r="K195" s="14"/>
      <c r="L195" s="14" t="s">
        <v>4</v>
      </c>
      <c r="M195" s="14" t="s">
        <v>85</v>
      </c>
      <c r="N195" s="14" t="s">
        <v>1253</v>
      </c>
      <c r="O195" s="14" t="s">
        <v>519</v>
      </c>
      <c r="P195" s="17" t="s">
        <v>1254</v>
      </c>
      <c r="Q195" s="14" t="s">
        <v>168</v>
      </c>
      <c r="R195" s="14" t="s">
        <v>144</v>
      </c>
      <c r="S195" s="28">
        <v>3007369473</v>
      </c>
      <c r="T195" s="28" t="s">
        <v>1255</v>
      </c>
      <c r="U195" s="38" t="s">
        <v>1256</v>
      </c>
      <c r="V195">
        <f t="shared" si="49"/>
        <v>33</v>
      </c>
      <c r="W195">
        <f t="shared" si="50"/>
        <v>8</v>
      </c>
      <c r="X195">
        <f t="shared" si="51"/>
        <v>2026</v>
      </c>
      <c r="Y195" t="str">
        <f t="shared" si="52"/>
        <v>33-2026</v>
      </c>
      <c r="Z195" t="s">
        <v>147</v>
      </c>
      <c r="AD195" t="s">
        <v>59</v>
      </c>
      <c r="AE195">
        <v>6</v>
      </c>
    </row>
    <row r="196" spans="1:33" ht="29.1">
      <c r="A196" s="14">
        <v>3757542</v>
      </c>
      <c r="B196" s="14" t="s">
        <v>81</v>
      </c>
      <c r="C196" s="14" t="s">
        <v>81</v>
      </c>
      <c r="D196" s="24">
        <v>46246</v>
      </c>
      <c r="E196" s="24">
        <v>46246</v>
      </c>
      <c r="F196" s="25">
        <v>0.47847222222222224</v>
      </c>
      <c r="G196" s="14">
        <v>2026</v>
      </c>
      <c r="H196" s="14">
        <v>8</v>
      </c>
      <c r="I196" s="14" t="s">
        <v>138</v>
      </c>
      <c r="J196" s="14" t="s">
        <v>1257</v>
      </c>
      <c r="K196" s="14"/>
      <c r="L196" s="14" t="s">
        <v>4</v>
      </c>
      <c r="M196" s="14" t="s">
        <v>85</v>
      </c>
      <c r="N196" s="14" t="s">
        <v>1258</v>
      </c>
      <c r="O196" s="14" t="s">
        <v>519</v>
      </c>
      <c r="P196" s="17" t="s">
        <v>1259</v>
      </c>
      <c r="Q196" s="14" t="s">
        <v>224</v>
      </c>
      <c r="R196" s="14" t="s">
        <v>225</v>
      </c>
      <c r="S196" s="28">
        <v>3203995654</v>
      </c>
      <c r="T196" s="28" t="s">
        <v>276</v>
      </c>
      <c r="U196" s="38" t="s">
        <v>1260</v>
      </c>
      <c r="V196">
        <f t="shared" si="49"/>
        <v>33</v>
      </c>
      <c r="W196">
        <f t="shared" si="50"/>
        <v>8</v>
      </c>
      <c r="X196">
        <f t="shared" si="51"/>
        <v>2026</v>
      </c>
      <c r="Y196" t="str">
        <f t="shared" si="52"/>
        <v>33-2026</v>
      </c>
      <c r="Z196" t="s">
        <v>147</v>
      </c>
      <c r="AD196" t="s">
        <v>57</v>
      </c>
      <c r="AE196">
        <v>6</v>
      </c>
      <c r="AG196" t="s">
        <v>31</v>
      </c>
    </row>
    <row r="197" spans="1:33" ht="29.1">
      <c r="A197" s="14">
        <v>3757636</v>
      </c>
      <c r="B197" s="14" t="s">
        <v>77</v>
      </c>
      <c r="C197" s="14" t="s">
        <v>743</v>
      </c>
      <c r="D197" s="24">
        <v>46246</v>
      </c>
      <c r="E197" s="24">
        <v>46246</v>
      </c>
      <c r="F197" s="25">
        <v>0.54166666666666663</v>
      </c>
      <c r="G197" s="14">
        <v>2026</v>
      </c>
      <c r="H197" s="14">
        <v>8</v>
      </c>
      <c r="I197" s="14" t="s">
        <v>138</v>
      </c>
      <c r="J197" s="14" t="s">
        <v>1261</v>
      </c>
      <c r="K197" s="14"/>
      <c r="L197" s="14" t="s">
        <v>4</v>
      </c>
      <c r="M197" s="14" t="s">
        <v>85</v>
      </c>
      <c r="N197" s="14" t="s">
        <v>1262</v>
      </c>
      <c r="O197" s="14" t="s">
        <v>519</v>
      </c>
      <c r="P197" s="17" t="s">
        <v>1263</v>
      </c>
      <c r="Q197" s="14" t="s">
        <v>224</v>
      </c>
      <c r="R197" s="14" t="s">
        <v>225</v>
      </c>
      <c r="S197" s="28">
        <v>3167222692</v>
      </c>
      <c r="T197" s="28" t="s">
        <v>1264</v>
      </c>
      <c r="U197" s="38" t="s">
        <v>1265</v>
      </c>
      <c r="V197">
        <f t="shared" si="49"/>
        <v>33</v>
      </c>
      <c r="W197">
        <f t="shared" si="50"/>
        <v>8</v>
      </c>
      <c r="X197">
        <f t="shared" si="51"/>
        <v>2026</v>
      </c>
      <c r="Y197" t="str">
        <f t="shared" si="52"/>
        <v>33-2026</v>
      </c>
      <c r="Z197" t="s">
        <v>147</v>
      </c>
      <c r="AD197" t="s">
        <v>59</v>
      </c>
      <c r="AE197">
        <v>6</v>
      </c>
    </row>
    <row r="198" spans="1:33" ht="29.1">
      <c r="A198" s="14">
        <v>3757717</v>
      </c>
      <c r="B198" s="14" t="s">
        <v>77</v>
      </c>
      <c r="C198" s="14" t="s">
        <v>743</v>
      </c>
      <c r="D198" s="24">
        <v>46246</v>
      </c>
      <c r="E198" s="24">
        <v>46246</v>
      </c>
      <c r="F198" s="25">
        <v>0.61875000000000002</v>
      </c>
      <c r="G198" s="14">
        <v>2026</v>
      </c>
      <c r="H198" s="14">
        <v>8</v>
      </c>
      <c r="I198" s="14" t="s">
        <v>138</v>
      </c>
      <c r="J198" s="14" t="s">
        <v>1266</v>
      </c>
      <c r="K198" s="14"/>
      <c r="L198" s="14" t="s">
        <v>4</v>
      </c>
      <c r="M198" s="14" t="s">
        <v>85</v>
      </c>
      <c r="N198" s="14" t="s">
        <v>1267</v>
      </c>
      <c r="O198" s="14" t="s">
        <v>519</v>
      </c>
      <c r="P198" s="17" t="s">
        <v>1268</v>
      </c>
      <c r="Q198" s="14" t="s">
        <v>168</v>
      </c>
      <c r="R198" s="14" t="s">
        <v>144</v>
      </c>
      <c r="S198" s="28">
        <v>3133921926</v>
      </c>
      <c r="T198" s="14" t="s">
        <v>1269</v>
      </c>
      <c r="U198" s="38" t="s">
        <v>1270</v>
      </c>
      <c r="V198">
        <f t="shared" si="49"/>
        <v>33</v>
      </c>
      <c r="W198">
        <f t="shared" si="50"/>
        <v>8</v>
      </c>
      <c r="X198">
        <f t="shared" si="51"/>
        <v>2026</v>
      </c>
      <c r="Y198" t="str">
        <f t="shared" si="52"/>
        <v>33-2026</v>
      </c>
      <c r="Z198" t="s">
        <v>147</v>
      </c>
      <c r="AD198" t="s">
        <v>59</v>
      </c>
      <c r="AE198">
        <v>6</v>
      </c>
    </row>
    <row r="199" spans="1:33" ht="29.1">
      <c r="A199" s="14">
        <v>3761019</v>
      </c>
      <c r="B199" s="14" t="s">
        <v>68</v>
      </c>
      <c r="C199" s="14" t="s">
        <v>541</v>
      </c>
      <c r="D199" s="24">
        <v>46247</v>
      </c>
      <c r="E199" s="24">
        <v>46247</v>
      </c>
      <c r="F199" s="25">
        <v>0.4375</v>
      </c>
      <c r="G199" s="14">
        <v>2026</v>
      </c>
      <c r="H199" s="14">
        <v>8</v>
      </c>
      <c r="I199" s="14" t="s">
        <v>138</v>
      </c>
      <c r="J199" s="14" t="s">
        <v>1271</v>
      </c>
      <c r="K199" s="14"/>
      <c r="L199" s="14" t="s">
        <v>4</v>
      </c>
      <c r="M199" s="14" t="s">
        <v>85</v>
      </c>
      <c r="N199" s="14" t="s">
        <v>1272</v>
      </c>
      <c r="O199" s="14" t="s">
        <v>473</v>
      </c>
      <c r="P199" s="17" t="s">
        <v>1273</v>
      </c>
      <c r="Q199" s="14" t="s">
        <v>224</v>
      </c>
      <c r="R199" s="14" t="s">
        <v>225</v>
      </c>
      <c r="S199" s="28">
        <v>3228435227</v>
      </c>
      <c r="T199" s="14" t="s">
        <v>295</v>
      </c>
      <c r="U199" s="38" t="s">
        <v>1274</v>
      </c>
      <c r="V199">
        <f t="shared" si="49"/>
        <v>33</v>
      </c>
      <c r="W199">
        <f t="shared" si="50"/>
        <v>8</v>
      </c>
      <c r="X199">
        <f t="shared" si="51"/>
        <v>2026</v>
      </c>
      <c r="Y199" t="str">
        <f t="shared" si="52"/>
        <v>33-2026</v>
      </c>
      <c r="Z199" t="s">
        <v>147</v>
      </c>
      <c r="AD199" t="s">
        <v>59</v>
      </c>
      <c r="AE199">
        <v>6</v>
      </c>
    </row>
    <row r="200" spans="1:33" ht="29.1">
      <c r="A200" s="14">
        <v>3761121</v>
      </c>
      <c r="B200" s="14" t="s">
        <v>64</v>
      </c>
      <c r="C200" s="14" t="s">
        <v>656</v>
      </c>
      <c r="D200" s="24">
        <v>46247</v>
      </c>
      <c r="E200" s="24">
        <v>46247</v>
      </c>
      <c r="F200" s="25">
        <v>0.5180555555555556</v>
      </c>
      <c r="G200" s="14">
        <v>2026</v>
      </c>
      <c r="H200" s="14">
        <v>8</v>
      </c>
      <c r="I200" s="14" t="s">
        <v>138</v>
      </c>
      <c r="J200" s="14" t="s">
        <v>1275</v>
      </c>
      <c r="K200" s="14"/>
      <c r="L200" s="14" t="s">
        <v>4</v>
      </c>
      <c r="M200" s="14" t="s">
        <v>85</v>
      </c>
      <c r="N200" s="14" t="s">
        <v>1276</v>
      </c>
      <c r="O200" s="14" t="s">
        <v>519</v>
      </c>
      <c r="P200" s="17" t="s">
        <v>1277</v>
      </c>
      <c r="Q200" s="14" t="s">
        <v>143</v>
      </c>
      <c r="R200" s="14" t="s">
        <v>144</v>
      </c>
      <c r="S200" s="28">
        <v>3112163546</v>
      </c>
      <c r="T200" s="14" t="s">
        <v>453</v>
      </c>
      <c r="U200" s="38" t="s">
        <v>1278</v>
      </c>
      <c r="V200">
        <f t="shared" si="49"/>
        <v>33</v>
      </c>
      <c r="W200">
        <f t="shared" si="50"/>
        <v>8</v>
      </c>
      <c r="X200">
        <f t="shared" si="51"/>
        <v>2026</v>
      </c>
      <c r="Y200" t="str">
        <f t="shared" si="52"/>
        <v>33-2026</v>
      </c>
      <c r="Z200" t="s">
        <v>147</v>
      </c>
      <c r="AD200" t="s">
        <v>57</v>
      </c>
      <c r="AE200">
        <v>6</v>
      </c>
      <c r="AG200" t="s">
        <v>31</v>
      </c>
    </row>
    <row r="201" spans="1:33" ht="29.1">
      <c r="A201" s="14">
        <v>3761331</v>
      </c>
      <c r="B201" s="14" t="s">
        <v>67</v>
      </c>
      <c r="C201" s="14" t="s">
        <v>433</v>
      </c>
      <c r="D201" s="24">
        <v>46247</v>
      </c>
      <c r="E201" s="24">
        <v>46247</v>
      </c>
      <c r="F201" s="25">
        <v>0.74583333333333335</v>
      </c>
      <c r="G201" s="14">
        <v>2026</v>
      </c>
      <c r="H201" s="14">
        <v>8</v>
      </c>
      <c r="I201" s="14" t="s">
        <v>138</v>
      </c>
      <c r="J201" s="14" t="s">
        <v>1279</v>
      </c>
      <c r="K201" s="14"/>
      <c r="L201" s="14" t="s">
        <v>4</v>
      </c>
      <c r="M201" s="14" t="s">
        <v>85</v>
      </c>
      <c r="N201" s="14" t="s">
        <v>1280</v>
      </c>
      <c r="O201" s="14" t="s">
        <v>519</v>
      </c>
      <c r="P201" s="17" t="s">
        <v>1281</v>
      </c>
      <c r="Q201" s="14" t="s">
        <v>143</v>
      </c>
      <c r="R201" s="14" t="s">
        <v>176</v>
      </c>
      <c r="S201" s="28">
        <v>3202738768</v>
      </c>
      <c r="T201" s="14" t="s">
        <v>1282</v>
      </c>
      <c r="U201" s="38" t="s">
        <v>1283</v>
      </c>
      <c r="V201">
        <f t="shared" si="49"/>
        <v>33</v>
      </c>
      <c r="W201">
        <f t="shared" si="50"/>
        <v>8</v>
      </c>
      <c r="X201">
        <f t="shared" si="51"/>
        <v>2026</v>
      </c>
      <c r="Y201" t="str">
        <f t="shared" si="52"/>
        <v>33-2026</v>
      </c>
      <c r="AD201" t="s">
        <v>59</v>
      </c>
      <c r="AE201">
        <v>6</v>
      </c>
    </row>
    <row r="202" spans="1:33" ht="29.1">
      <c r="A202" s="14">
        <v>3761334</v>
      </c>
      <c r="B202" s="14" t="s">
        <v>67</v>
      </c>
      <c r="C202" s="14" t="s">
        <v>433</v>
      </c>
      <c r="D202" s="24">
        <v>46247</v>
      </c>
      <c r="E202" s="24">
        <v>46247</v>
      </c>
      <c r="F202" s="25">
        <v>0.75069444444444444</v>
      </c>
      <c r="G202" s="14">
        <v>2026</v>
      </c>
      <c r="H202" s="14">
        <v>8</v>
      </c>
      <c r="I202" s="14" t="s">
        <v>138</v>
      </c>
      <c r="J202" s="14" t="s">
        <v>1284</v>
      </c>
      <c r="K202" s="14"/>
      <c r="L202" s="14" t="s">
        <v>4</v>
      </c>
      <c r="M202" s="14" t="s">
        <v>85</v>
      </c>
      <c r="N202" s="14" t="s">
        <v>1285</v>
      </c>
      <c r="O202" s="14" t="s">
        <v>519</v>
      </c>
      <c r="P202" s="17" t="s">
        <v>1286</v>
      </c>
      <c r="Q202" s="14" t="s">
        <v>224</v>
      </c>
      <c r="R202" s="14" t="s">
        <v>193</v>
      </c>
      <c r="S202" s="28">
        <v>3182432298</v>
      </c>
      <c r="T202" s="14" t="s">
        <v>1287</v>
      </c>
      <c r="U202" s="38" t="s">
        <v>1288</v>
      </c>
      <c r="V202">
        <f t="shared" si="49"/>
        <v>33</v>
      </c>
      <c r="W202">
        <f t="shared" si="50"/>
        <v>8</v>
      </c>
      <c r="X202">
        <f t="shared" si="51"/>
        <v>2026</v>
      </c>
      <c r="Y202" t="str">
        <f t="shared" si="52"/>
        <v>33-2026</v>
      </c>
      <c r="AD202" t="s">
        <v>59</v>
      </c>
      <c r="AE202">
        <v>6</v>
      </c>
    </row>
    <row r="203" spans="1:33" ht="29.1">
      <c r="A203" s="14">
        <v>3761354</v>
      </c>
      <c r="B203" s="14" t="s">
        <v>19</v>
      </c>
      <c r="C203" s="14" t="s">
        <v>256</v>
      </c>
      <c r="D203" s="24">
        <v>46247</v>
      </c>
      <c r="E203" s="24">
        <v>46247</v>
      </c>
      <c r="F203" s="25">
        <v>0.78333333333333333</v>
      </c>
      <c r="G203" s="14">
        <v>2026</v>
      </c>
      <c r="H203" s="14">
        <v>8</v>
      </c>
      <c r="I203" s="14" t="s">
        <v>138</v>
      </c>
      <c r="J203" s="14" t="s">
        <v>1289</v>
      </c>
      <c r="K203" s="14"/>
      <c r="L203" s="14" t="s">
        <v>4</v>
      </c>
      <c r="M203" s="14" t="s">
        <v>243</v>
      </c>
      <c r="N203" s="14" t="s">
        <v>1290</v>
      </c>
      <c r="O203" s="14" t="s">
        <v>519</v>
      </c>
      <c r="P203" s="17" t="s">
        <v>1291</v>
      </c>
      <c r="Q203" s="14" t="s">
        <v>143</v>
      </c>
      <c r="R203" s="14" t="s">
        <v>144</v>
      </c>
      <c r="S203" s="28">
        <v>3204032618</v>
      </c>
      <c r="T203" s="14" t="s">
        <v>513</v>
      </c>
      <c r="U203" s="38" t="s">
        <v>1292</v>
      </c>
      <c r="V203">
        <f t="shared" si="49"/>
        <v>33</v>
      </c>
      <c r="W203">
        <f t="shared" si="50"/>
        <v>8</v>
      </c>
      <c r="X203">
        <f t="shared" si="51"/>
        <v>2026</v>
      </c>
      <c r="Y203" t="str">
        <f t="shared" si="52"/>
        <v>33-2026</v>
      </c>
      <c r="AD203" t="s">
        <v>59</v>
      </c>
      <c r="AE203">
        <v>6</v>
      </c>
    </row>
    <row r="204" spans="1:33" ht="29.1">
      <c r="A204" s="14">
        <v>3761356</v>
      </c>
      <c r="B204" s="14" t="s">
        <v>19</v>
      </c>
      <c r="C204" s="14" t="s">
        <v>256</v>
      </c>
      <c r="D204" s="24">
        <v>46247</v>
      </c>
      <c r="E204" s="24">
        <v>46247</v>
      </c>
      <c r="F204" s="25">
        <v>0.79027777777777775</v>
      </c>
      <c r="G204" s="14">
        <v>2026</v>
      </c>
      <c r="H204" s="14">
        <v>8</v>
      </c>
      <c r="I204" s="14" t="s">
        <v>138</v>
      </c>
      <c r="J204" s="14" t="s">
        <v>1293</v>
      </c>
      <c r="K204" s="14"/>
      <c r="L204" s="14" t="s">
        <v>4</v>
      </c>
      <c r="M204" s="14" t="s">
        <v>243</v>
      </c>
      <c r="N204" s="14" t="s">
        <v>1294</v>
      </c>
      <c r="O204" s="14" t="s">
        <v>519</v>
      </c>
      <c r="P204" s="17" t="s">
        <v>1295</v>
      </c>
      <c r="Q204" s="14" t="s">
        <v>224</v>
      </c>
      <c r="R204" s="14" t="s">
        <v>225</v>
      </c>
      <c r="S204" s="28">
        <v>3204032618</v>
      </c>
      <c r="T204" s="14" t="s">
        <v>513</v>
      </c>
      <c r="U204" s="38" t="s">
        <v>1296</v>
      </c>
      <c r="V204">
        <f t="shared" si="49"/>
        <v>33</v>
      </c>
      <c r="W204">
        <f t="shared" si="50"/>
        <v>8</v>
      </c>
      <c r="X204">
        <f t="shared" si="51"/>
        <v>2026</v>
      </c>
      <c r="Y204" t="str">
        <f t="shared" si="52"/>
        <v>33-2026</v>
      </c>
      <c r="AD204" t="s">
        <v>59</v>
      </c>
      <c r="AE204">
        <v>6</v>
      </c>
    </row>
    <row r="205" spans="1:33" ht="29.1">
      <c r="A205" s="14">
        <v>3761358</v>
      </c>
      <c r="B205" s="14" t="s">
        <v>19</v>
      </c>
      <c r="C205" s="14" t="s">
        <v>256</v>
      </c>
      <c r="D205" s="24">
        <v>46247</v>
      </c>
      <c r="E205" s="24">
        <v>46247</v>
      </c>
      <c r="F205" s="25">
        <v>0.79583333333333328</v>
      </c>
      <c r="G205" s="14">
        <v>2026</v>
      </c>
      <c r="H205" s="14">
        <v>8</v>
      </c>
      <c r="I205" s="14" t="s">
        <v>138</v>
      </c>
      <c r="J205" s="14" t="s">
        <v>1297</v>
      </c>
      <c r="K205" s="14"/>
      <c r="L205" s="14" t="s">
        <v>4</v>
      </c>
      <c r="M205" s="14" t="s">
        <v>243</v>
      </c>
      <c r="N205" s="14" t="s">
        <v>1298</v>
      </c>
      <c r="O205" s="14" t="s">
        <v>519</v>
      </c>
      <c r="P205" s="17" t="s">
        <v>1299</v>
      </c>
      <c r="Q205" s="14" t="s">
        <v>143</v>
      </c>
      <c r="R205" s="14" t="s">
        <v>144</v>
      </c>
      <c r="S205" s="28">
        <v>3115576168</v>
      </c>
      <c r="T205" s="14" t="s">
        <v>513</v>
      </c>
      <c r="U205" s="38" t="s">
        <v>1300</v>
      </c>
      <c r="V205">
        <f t="shared" si="49"/>
        <v>33</v>
      </c>
      <c r="W205">
        <f t="shared" si="50"/>
        <v>8</v>
      </c>
      <c r="X205">
        <f t="shared" si="51"/>
        <v>2026</v>
      </c>
      <c r="Y205" t="str">
        <f t="shared" si="52"/>
        <v>33-2026</v>
      </c>
      <c r="AD205" t="s">
        <v>59</v>
      </c>
      <c r="AE205">
        <v>6</v>
      </c>
    </row>
    <row r="206" spans="1:33" ht="29.1">
      <c r="A206" s="14">
        <v>3764578</v>
      </c>
      <c r="B206" s="14" t="s">
        <v>81</v>
      </c>
      <c r="C206" s="14" t="s">
        <v>81</v>
      </c>
      <c r="D206" s="24">
        <v>46248</v>
      </c>
      <c r="E206" s="24">
        <v>46248</v>
      </c>
      <c r="F206" s="25">
        <v>0.49166666666666664</v>
      </c>
      <c r="G206" s="14">
        <v>2026</v>
      </c>
      <c r="H206" s="14">
        <v>8</v>
      </c>
      <c r="I206" s="14" t="s">
        <v>138</v>
      </c>
      <c r="J206" s="14" t="s">
        <v>1301</v>
      </c>
      <c r="K206" s="14"/>
      <c r="L206" s="14" t="s">
        <v>4</v>
      </c>
      <c r="M206" s="14" t="s">
        <v>85</v>
      </c>
      <c r="N206" s="14" t="s">
        <v>1302</v>
      </c>
      <c r="O206" s="14" t="s">
        <v>519</v>
      </c>
      <c r="P206" s="17" t="s">
        <v>1303</v>
      </c>
      <c r="Q206" s="14" t="s">
        <v>143</v>
      </c>
      <c r="R206" s="14" t="s">
        <v>144</v>
      </c>
      <c r="S206" s="28">
        <v>3168322676</v>
      </c>
      <c r="T206" s="14" t="s">
        <v>276</v>
      </c>
      <c r="U206" s="38" t="s">
        <v>1304</v>
      </c>
      <c r="V206">
        <f t="shared" si="49"/>
        <v>33</v>
      </c>
      <c r="W206">
        <f t="shared" si="50"/>
        <v>8</v>
      </c>
      <c r="X206">
        <f t="shared" si="51"/>
        <v>2026</v>
      </c>
      <c r="Y206" t="str">
        <f t="shared" si="52"/>
        <v>33-2026</v>
      </c>
      <c r="AD206" t="s">
        <v>59</v>
      </c>
      <c r="AE206">
        <v>6</v>
      </c>
    </row>
    <row r="207" spans="1:33" ht="29.1">
      <c r="A207" s="14">
        <v>3764631</v>
      </c>
      <c r="B207" s="14" t="s">
        <v>1305</v>
      </c>
      <c r="C207" s="14" t="s">
        <v>1306</v>
      </c>
      <c r="D207" s="24">
        <v>46248</v>
      </c>
      <c r="E207" s="24">
        <v>46248</v>
      </c>
      <c r="F207" s="25">
        <v>0.57152777777777775</v>
      </c>
      <c r="G207" s="14">
        <v>2026</v>
      </c>
      <c r="H207" s="14">
        <v>8</v>
      </c>
      <c r="I207" s="14" t="s">
        <v>138</v>
      </c>
      <c r="J207" s="14" t="s">
        <v>1307</v>
      </c>
      <c r="K207" s="14"/>
      <c r="L207" s="14" t="s">
        <v>5</v>
      </c>
      <c r="M207" s="14" t="s">
        <v>90</v>
      </c>
      <c r="N207" s="14" t="s">
        <v>1308</v>
      </c>
      <c r="O207" s="14" t="s">
        <v>566</v>
      </c>
      <c r="P207" s="17" t="s">
        <v>1309</v>
      </c>
      <c r="Q207" s="14" t="s">
        <v>224</v>
      </c>
      <c r="R207" s="14" t="s">
        <v>144</v>
      </c>
      <c r="S207" s="28">
        <v>3145478410</v>
      </c>
      <c r="T207" s="14" t="s">
        <v>1310</v>
      </c>
      <c r="U207" s="38" t="s">
        <v>1311</v>
      </c>
      <c r="V207">
        <f t="shared" si="49"/>
        <v>33</v>
      </c>
      <c r="W207">
        <f t="shared" si="50"/>
        <v>8</v>
      </c>
      <c r="X207">
        <f t="shared" si="51"/>
        <v>2026</v>
      </c>
      <c r="Y207" t="str">
        <f t="shared" si="52"/>
        <v>33-2026</v>
      </c>
      <c r="AD207" t="s">
        <v>59</v>
      </c>
      <c r="AE207">
        <v>6</v>
      </c>
    </row>
    <row r="208" spans="1:33" ht="29.1">
      <c r="A208" s="14">
        <v>3764657</v>
      </c>
      <c r="B208" s="14" t="s">
        <v>10</v>
      </c>
      <c r="C208" s="14" t="s">
        <v>269</v>
      </c>
      <c r="D208" s="24">
        <v>46248</v>
      </c>
      <c r="E208" s="24">
        <v>46248</v>
      </c>
      <c r="F208" s="25">
        <v>0.59513888888888888</v>
      </c>
      <c r="G208" s="14">
        <v>2026</v>
      </c>
      <c r="H208" s="14">
        <v>8</v>
      </c>
      <c r="I208" s="14" t="s">
        <v>138</v>
      </c>
      <c r="J208" s="14" t="s">
        <v>1312</v>
      </c>
      <c r="K208" s="14"/>
      <c r="L208" s="14" t="s">
        <v>4</v>
      </c>
      <c r="M208" s="14" t="s">
        <v>85</v>
      </c>
      <c r="N208" s="14" t="s">
        <v>1313</v>
      </c>
      <c r="O208" s="14" t="s">
        <v>519</v>
      </c>
      <c r="P208" s="17" t="s">
        <v>1314</v>
      </c>
      <c r="Q208" s="14" t="s">
        <v>143</v>
      </c>
      <c r="R208" s="14" t="s">
        <v>535</v>
      </c>
      <c r="S208" s="28">
        <v>3108787862</v>
      </c>
      <c r="T208" s="14" t="s">
        <v>1315</v>
      </c>
      <c r="U208" s="38" t="s">
        <v>1316</v>
      </c>
      <c r="V208">
        <f t="shared" si="49"/>
        <v>33</v>
      </c>
      <c r="W208">
        <f t="shared" si="50"/>
        <v>8</v>
      </c>
      <c r="X208">
        <f t="shared" si="51"/>
        <v>2026</v>
      </c>
      <c r="Y208" t="str">
        <f t="shared" si="52"/>
        <v>33-2026</v>
      </c>
      <c r="AD208" t="s">
        <v>59</v>
      </c>
      <c r="AE208">
        <v>6</v>
      </c>
    </row>
  </sheetData>
  <autoFilter ref="A1:AN208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  <hyperlink ref="P192" r:id="rId198" xr:uid="{63BCECA4-CA59-4C43-8AF4-E997E2BCF30E}"/>
    <hyperlink ref="P127" r:id="rId199" xr:uid="{B6EBE24C-CD06-4C97-B35B-9A2E16FB7AF4}"/>
    <hyperlink ref="P195" r:id="rId200" xr:uid="{9C8D52F2-03A6-4CCC-898A-D7685077859D}"/>
    <hyperlink ref="P196" r:id="rId201" xr:uid="{C01EC464-0B60-41C6-B4EA-3894547146AE}"/>
    <hyperlink ref="P197" r:id="rId202" xr:uid="{EDACD463-83AD-4F85-9CD6-072996257403}"/>
    <hyperlink ref="P198" r:id="rId203" xr:uid="{37FDA104-1738-4C83-AE2A-E0A200C546AE}"/>
    <hyperlink ref="P193" r:id="rId204" xr:uid="{ABF816AF-9982-4DD0-9027-1CAA40B43571}"/>
    <hyperlink ref="P199" r:id="rId205" xr:uid="{E6AAF908-03BC-47E8-B6B3-00CD7110845D}"/>
    <hyperlink ref="U199" r:id="rId206" xr:uid="{DDDA19CB-DC7F-4AE7-BA57-011903B740B1}"/>
    <hyperlink ref="P200" r:id="rId207" xr:uid="{7289486C-4F63-43A0-9ADD-5D62FDFFF3C4}"/>
    <hyperlink ref="U200" r:id="rId208" xr:uid="{1150D38C-0CFE-429A-A7F3-515EE9ACB7C0}"/>
    <hyperlink ref="P202" r:id="rId209" xr:uid="{45F0C4F7-275A-4CDE-B84C-48B657377821}"/>
    <hyperlink ref="P201" r:id="rId210" xr:uid="{740C7439-73C9-4871-A739-30FC69EAE109}"/>
    <hyperlink ref="P203" r:id="rId211" xr:uid="{0235E501-6E65-4D18-B6AA-3E7B06730598}"/>
    <hyperlink ref="P204" r:id="rId212" xr:uid="{1F490030-893C-4E82-8B88-3405D41CE89B}"/>
    <hyperlink ref="P205" r:id="rId213" xr:uid="{1EDB4C47-D17F-451B-9BC4-2251FCFC9EA0}"/>
    <hyperlink ref="P206" r:id="rId214" xr:uid="{0FAB452C-E82D-4AC3-97AD-3A564E83CFA4}"/>
    <hyperlink ref="P207" r:id="rId215" xr:uid="{7C6991D2-8734-4E87-9465-305796C2DE6C}"/>
    <hyperlink ref="P208" r:id="rId216" xr:uid="{D54E68D3-1EA6-487F-87AA-3044FC55C86C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AH121:AH122 AH2:AH101 AH107:AH110 AH116 AH103:AH105 AH125 AH130 AH151 AH145:AH147 AH159 AH154 AH118:AH119 AH134 AH142 AH140 AH137 AH165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355</v>
      </c>
      <c r="C1" s="12" t="s">
        <v>1317</v>
      </c>
      <c r="D1" s="12" t="s">
        <v>1318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1319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1320</v>
      </c>
      <c r="B1" t="s">
        <v>1321</v>
      </c>
    </row>
    <row r="2" spans="1:2">
      <c r="A2" t="s">
        <v>1322</v>
      </c>
      <c r="B2" t="s">
        <v>1323</v>
      </c>
    </row>
    <row r="3" spans="1:2">
      <c r="A3" t="s">
        <v>1324</v>
      </c>
      <c r="B3" t="s">
        <v>1325</v>
      </c>
    </row>
    <row r="4" spans="1:2">
      <c r="A4" t="s">
        <v>1326</v>
      </c>
      <c r="B4" t="s">
        <v>1327</v>
      </c>
    </row>
    <row r="5" spans="1:2">
      <c r="A5" t="s">
        <v>1328</v>
      </c>
      <c r="B5" t="s">
        <v>1329</v>
      </c>
    </row>
    <row r="6" spans="1:2">
      <c r="A6" t="s">
        <v>1330</v>
      </c>
      <c r="B6" t="s">
        <v>1331</v>
      </c>
    </row>
    <row r="7" spans="1:2">
      <c r="A7" t="s">
        <v>1332</v>
      </c>
      <c r="B7" t="s">
        <v>1333</v>
      </c>
    </row>
    <row r="8" spans="1:2">
      <c r="A8" t="s">
        <v>1334</v>
      </c>
      <c r="B8" t="s">
        <v>1335</v>
      </c>
    </row>
    <row r="9" spans="1:2">
      <c r="A9" t="s">
        <v>1336</v>
      </c>
      <c r="B9" t="s">
        <v>1337</v>
      </c>
    </row>
    <row r="10" spans="1:2">
      <c r="A10" t="s">
        <v>1338</v>
      </c>
      <c r="B10" t="s">
        <v>1339</v>
      </c>
    </row>
    <row r="11" spans="1:2">
      <c r="A11" t="s">
        <v>1340</v>
      </c>
      <c r="B1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1341</v>
      </c>
      <c r="C1" s="8"/>
      <c r="D1" s="7" t="s">
        <v>1342</v>
      </c>
      <c r="E1" s="7" t="s">
        <v>1343</v>
      </c>
      <c r="F1" s="7" t="s">
        <v>1344</v>
      </c>
      <c r="G1" s="7" t="s">
        <v>1345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138</v>
      </c>
      <c r="O1" s="7" t="s">
        <v>1346</v>
      </c>
      <c r="P1" s="11" t="s">
        <v>1347</v>
      </c>
      <c r="Q1" s="7" t="s">
        <v>1348</v>
      </c>
      <c r="R1" s="1" t="s">
        <v>1349</v>
      </c>
      <c r="S1" s="7" t="s">
        <v>1350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1341</v>
      </c>
      <c r="C2" s="8"/>
      <c r="D2" s="7" t="s">
        <v>1342</v>
      </c>
      <c r="E2" s="7" t="s">
        <v>1343</v>
      </c>
      <c r="F2" s="7" t="s">
        <v>1344</v>
      </c>
      <c r="G2" s="7" t="s">
        <v>1345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138</v>
      </c>
      <c r="O2" s="7" t="s">
        <v>1346</v>
      </c>
      <c r="P2" s="11" t="s">
        <v>1347</v>
      </c>
      <c r="Q2" s="7" t="s">
        <v>1351</v>
      </c>
      <c r="R2" s="1" t="s">
        <v>1349</v>
      </c>
      <c r="S2" s="7" t="s">
        <v>1352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1353</v>
      </c>
      <c r="C3" s="8"/>
      <c r="D3" s="7" t="s">
        <v>1354</v>
      </c>
      <c r="E3" s="7" t="s">
        <v>1343</v>
      </c>
      <c r="F3" s="7" t="s">
        <v>1344</v>
      </c>
      <c r="G3" s="7" t="s">
        <v>1355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138</v>
      </c>
      <c r="O3" s="7" t="s">
        <v>1346</v>
      </c>
      <c r="P3" s="11" t="s">
        <v>1347</v>
      </c>
      <c r="Q3" s="7" t="s">
        <v>1356</v>
      </c>
      <c r="R3" s="1" t="s">
        <v>1349</v>
      </c>
      <c r="S3" s="7" t="s">
        <v>1357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1358</v>
      </c>
      <c r="E4" s="7" t="s">
        <v>1343</v>
      </c>
      <c r="F4" s="7" t="s">
        <v>1344</v>
      </c>
      <c r="G4" s="7" t="s">
        <v>1359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138</v>
      </c>
      <c r="O4" s="7" t="s">
        <v>1346</v>
      </c>
      <c r="P4" s="11" t="s">
        <v>1347</v>
      </c>
      <c r="Q4" s="7" t="s">
        <v>1360</v>
      </c>
      <c r="R4" s="1" t="s">
        <v>1349</v>
      </c>
      <c r="S4" s="7" t="s">
        <v>1361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1362</v>
      </c>
      <c r="C1" s="12" t="s">
        <v>1363</v>
      </c>
      <c r="D1" s="12" t="s">
        <v>1364</v>
      </c>
    </row>
    <row r="2" spans="1:4">
      <c r="A2" t="s">
        <v>1365</v>
      </c>
      <c r="B2" s="12">
        <v>33</v>
      </c>
      <c r="C2" s="12">
        <v>26</v>
      </c>
      <c r="D2" s="12">
        <v>2</v>
      </c>
    </row>
    <row r="3" spans="1:4">
      <c r="A3" t="s">
        <v>1321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124</v>
      </c>
      <c r="B1" s="6" t="s">
        <v>102</v>
      </c>
      <c r="C1" s="6" t="s">
        <v>1366</v>
      </c>
      <c r="D1" s="6" t="s">
        <v>1367</v>
      </c>
      <c r="E1" s="6" t="s">
        <v>1368</v>
      </c>
      <c r="F1" s="6" t="s">
        <v>1369</v>
      </c>
      <c r="G1" s="6" t="s">
        <v>1370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1371</v>
      </c>
      <c r="E2" s="4" t="s">
        <v>1372</v>
      </c>
      <c r="F2" s="5" t="s">
        <v>1373</v>
      </c>
      <c r="G2" s="5" t="s">
        <v>1374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1375</v>
      </c>
      <c r="E3" s="3" t="s">
        <v>1376</v>
      </c>
      <c r="F3" s="2" t="s">
        <v>1377</v>
      </c>
      <c r="G3" s="2" t="s">
        <v>1378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1379</v>
      </c>
      <c r="E4" s="4" t="s">
        <v>1376</v>
      </c>
      <c r="F4" s="5" t="s">
        <v>1380</v>
      </c>
      <c r="G4" s="5" t="s">
        <v>1378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1381</v>
      </c>
      <c r="E5" s="3" t="s">
        <v>1382</v>
      </c>
      <c r="F5" s="2" t="s">
        <v>1383</v>
      </c>
      <c r="G5" s="2" t="s">
        <v>1384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1385</v>
      </c>
      <c r="E6" s="4" t="s">
        <v>1386</v>
      </c>
      <c r="F6" s="5" t="s">
        <v>1387</v>
      </c>
      <c r="G6" s="5" t="s">
        <v>1384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1388</v>
      </c>
      <c r="E7" s="3" t="s">
        <v>1382</v>
      </c>
      <c r="F7" s="2" t="s">
        <v>1389</v>
      </c>
      <c r="G7" s="2" t="s">
        <v>1374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1390</v>
      </c>
      <c r="E8" s="4" t="s">
        <v>1376</v>
      </c>
      <c r="F8" s="5" t="s">
        <v>1391</v>
      </c>
      <c r="G8" s="5" t="s">
        <v>1378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1392</v>
      </c>
      <c r="E9" s="3" t="s">
        <v>1376</v>
      </c>
      <c r="F9" s="2" t="s">
        <v>1393</v>
      </c>
      <c r="G9" s="2" t="s">
        <v>1378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1394</v>
      </c>
      <c r="E10" s="4" t="s">
        <v>1376</v>
      </c>
      <c r="F10" s="5" t="s">
        <v>1395</v>
      </c>
      <c r="G10" s="5" t="s">
        <v>1378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1396</v>
      </c>
      <c r="E11" s="3" t="s">
        <v>1397</v>
      </c>
      <c r="F11" s="2" t="s">
        <v>1398</v>
      </c>
      <c r="G11" s="2" t="s">
        <v>1374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1399</v>
      </c>
      <c r="E12" s="4" t="s">
        <v>1382</v>
      </c>
      <c r="F12" s="5" t="s">
        <v>1400</v>
      </c>
      <c r="G12" s="5" t="s">
        <v>1374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1401</v>
      </c>
      <c r="E13" s="3" t="s">
        <v>1376</v>
      </c>
      <c r="F13" s="2" t="s">
        <v>1402</v>
      </c>
      <c r="G13" s="2" t="s">
        <v>1378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1403</v>
      </c>
      <c r="E14" s="4" t="s">
        <v>1376</v>
      </c>
      <c r="F14" s="5" t="s">
        <v>1404</v>
      </c>
      <c r="G14" s="5" t="s">
        <v>1378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1405</v>
      </c>
      <c r="E15" s="3" t="s">
        <v>1376</v>
      </c>
      <c r="F15" s="2" t="s">
        <v>1406</v>
      </c>
      <c r="G15" s="2" t="s">
        <v>1378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1407</v>
      </c>
      <c r="E16" s="4" t="s">
        <v>1376</v>
      </c>
      <c r="F16" s="5" t="s">
        <v>1408</v>
      </c>
      <c r="G16" s="5" t="s">
        <v>1378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1409</v>
      </c>
      <c r="E17" s="3" t="s">
        <v>1376</v>
      </c>
      <c r="F17" s="2" t="s">
        <v>1410</v>
      </c>
      <c r="G17" s="2" t="s">
        <v>1374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1411</v>
      </c>
      <c r="E18" s="4" t="s">
        <v>1382</v>
      </c>
      <c r="F18" s="5" t="s">
        <v>1412</v>
      </c>
      <c r="G18" s="5" t="s">
        <v>1374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1413</v>
      </c>
      <c r="E19" s="3" t="s">
        <v>1382</v>
      </c>
      <c r="F19" s="2" t="s">
        <v>1373</v>
      </c>
      <c r="G19" s="2" t="s">
        <v>1374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1414</v>
      </c>
      <c r="E20" s="4" t="s">
        <v>1376</v>
      </c>
      <c r="F20" s="5" t="s">
        <v>1377</v>
      </c>
      <c r="G20" s="5" t="s">
        <v>1378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1415</v>
      </c>
      <c r="E21" s="3" t="s">
        <v>1376</v>
      </c>
      <c r="F21" s="2" t="s">
        <v>1380</v>
      </c>
      <c r="G21" s="2" t="s">
        <v>1378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1416</v>
      </c>
      <c r="E22" s="4" t="s">
        <v>1382</v>
      </c>
      <c r="F22" s="5" t="s">
        <v>1383</v>
      </c>
      <c r="G22" s="5" t="s">
        <v>1384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1417</v>
      </c>
      <c r="E23" s="3" t="s">
        <v>1386</v>
      </c>
      <c r="F23" s="2" t="s">
        <v>1387</v>
      </c>
      <c r="G23" s="2" t="s">
        <v>1384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1418</v>
      </c>
      <c r="E24" s="4" t="s">
        <v>1386</v>
      </c>
      <c r="F24" s="5" t="s">
        <v>1389</v>
      </c>
      <c r="G24" s="5" t="s">
        <v>1374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1419</v>
      </c>
      <c r="E25" s="3" t="s">
        <v>1376</v>
      </c>
      <c r="F25" s="2" t="s">
        <v>1420</v>
      </c>
      <c r="G25" s="2" t="s">
        <v>1378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1421</v>
      </c>
      <c r="E26" s="4" t="s">
        <v>1376</v>
      </c>
      <c r="F26" s="5" t="s">
        <v>1393</v>
      </c>
      <c r="G26" s="5" t="s">
        <v>1378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1422</v>
      </c>
      <c r="E27" s="3" t="s">
        <v>1376</v>
      </c>
      <c r="F27" s="2" t="s">
        <v>1423</v>
      </c>
      <c r="G27" s="2" t="s">
        <v>1378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1424</v>
      </c>
      <c r="E28" s="4" t="s">
        <v>1376</v>
      </c>
      <c r="F28" s="5" t="s">
        <v>1425</v>
      </c>
      <c r="G28" s="5" t="s">
        <v>1378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1426</v>
      </c>
      <c r="E29" s="3" t="s">
        <v>1382</v>
      </c>
      <c r="F29" s="2" t="s">
        <v>1427</v>
      </c>
      <c r="G29" s="2" t="s">
        <v>1428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1429</v>
      </c>
      <c r="E30" s="4" t="s">
        <v>1376</v>
      </c>
      <c r="F30" s="5" t="s">
        <v>1398</v>
      </c>
      <c r="G30" s="5" t="s">
        <v>1374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1430</v>
      </c>
      <c r="E31" s="3" t="s">
        <v>1386</v>
      </c>
      <c r="F31" s="2" t="s">
        <v>1400</v>
      </c>
      <c r="G31" s="2" t="s">
        <v>1374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1431</v>
      </c>
      <c r="E32" s="4" t="s">
        <v>1376</v>
      </c>
      <c r="F32" s="5" t="s">
        <v>1402</v>
      </c>
      <c r="G32" s="5" t="s">
        <v>1378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1432</v>
      </c>
      <c r="E33" s="3" t="s">
        <v>1376</v>
      </c>
      <c r="F33" s="2" t="s">
        <v>1404</v>
      </c>
      <c r="G33" s="2" t="s">
        <v>1378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1433</v>
      </c>
      <c r="E34" s="4" t="s">
        <v>1376</v>
      </c>
      <c r="F34" s="5" t="s">
        <v>1406</v>
      </c>
      <c r="G34" s="5" t="s">
        <v>1378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1434</v>
      </c>
      <c r="E35" s="3" t="s">
        <v>1376</v>
      </c>
      <c r="F35" s="2" t="s">
        <v>1408</v>
      </c>
      <c r="G35" s="2" t="s">
        <v>1378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1435</v>
      </c>
      <c r="E36" s="4" t="s">
        <v>1436</v>
      </c>
      <c r="F36" s="5" t="s">
        <v>1410</v>
      </c>
      <c r="G36" s="5" t="s">
        <v>1374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1437</v>
      </c>
      <c r="E37" s="3" t="s">
        <v>1386</v>
      </c>
      <c r="F37" s="2" t="s">
        <v>1412</v>
      </c>
      <c r="G37" s="2" t="s">
        <v>1374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2026-08-18T13:42:48Z</dcterms:modified>
  <cp:category/>
  <cp:contentStatus/>
</cp:coreProperties>
</file>