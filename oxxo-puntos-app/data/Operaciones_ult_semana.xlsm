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E9F7D9BE-7A45-41DA-8B33-D585FC04CC13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JEFE DE OPERACIONES" sheetId="18" r:id="rId3"/>
    <sheet name="Resumen operaciones" sheetId="16" r:id="rId4"/>
    <sheet name="Efectivos" sheetId="12" r:id="rId5"/>
    <sheet name="Metas_Generales" sheetId="9" state="hidden" r:id="rId6"/>
    <sheet name="Hoja1" sheetId="8" state="hidden" r:id="rId7"/>
    <sheet name="Visitas" sheetId="6" r:id="rId8"/>
    <sheet name="Cumplimiento Visitas" sheetId="14" r:id="rId9"/>
    <sheet name="Cumplimiento Efectivos" sheetId="15" r:id="rId10"/>
    <sheet name="Hoja2" sheetId="13" state="hidden" r:id="rId11"/>
    <sheet name="Festivos Colombia 2025-2026" sheetId="5" state="hidden" r:id="rId12"/>
  </sheets>
  <definedNames>
    <definedName name="_xlnm._FilterDatabase" localSheetId="4" hidden="1">Efectivos!$A$1:$G$19</definedName>
    <definedName name="_xlnm._FilterDatabase" localSheetId="1" hidden="1">Hoja4!$A$22:$B$37</definedName>
    <definedName name="_xlnm._FilterDatabase" localSheetId="3" hidden="1">'Resumen operaciones'!$A$1:$C$15</definedName>
    <definedName name="_xlnm._FilterDatabase" localSheetId="7" hidden="1">Visitas!$A$1:$F$19</definedName>
    <definedName name="_xlnm._FilterDatabase" localSheetId="0" hidden="1">Visitas_Operaciones!$A$1:$AA$34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29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2" l="1"/>
  <c r="B18" i="16"/>
  <c r="A18" i="16" a="1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Y14" i="2" s="1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Y21" i="2" s="1"/>
  <c r="V22" i="2"/>
  <c r="W22" i="2"/>
  <c r="X22" i="2"/>
  <c r="V23" i="2"/>
  <c r="W23" i="2"/>
  <c r="X23" i="2"/>
  <c r="V24" i="2"/>
  <c r="W24" i="2"/>
  <c r="X24" i="2"/>
  <c r="Y24" i="2" s="1"/>
  <c r="V25" i="2"/>
  <c r="W25" i="2"/>
  <c r="X25" i="2"/>
  <c r="V26" i="2"/>
  <c r="W26" i="2"/>
  <c r="X26" i="2"/>
  <c r="V27" i="2"/>
  <c r="W27" i="2"/>
  <c r="X27" i="2"/>
  <c r="Y27" i="2" s="1"/>
  <c r="V28" i="2"/>
  <c r="W28" i="2"/>
  <c r="X28" i="2"/>
  <c r="Y28" i="2" s="1"/>
  <c r="V29" i="2"/>
  <c r="W29" i="2"/>
  <c r="X29" i="2"/>
  <c r="V30" i="2"/>
  <c r="W30" i="2"/>
  <c r="X30" i="2"/>
  <c r="V31" i="2"/>
  <c r="W31" i="2"/>
  <c r="X31" i="2"/>
  <c r="Y31" i="2" s="1"/>
  <c r="V32" i="2"/>
  <c r="W32" i="2"/>
  <c r="X32" i="2"/>
  <c r="V33" i="2"/>
  <c r="W33" i="2"/>
  <c r="X33" i="2"/>
  <c r="V34" i="2"/>
  <c r="W34" i="2"/>
  <c r="X34" i="2"/>
  <c r="X2" i="2"/>
  <c r="W2" i="2"/>
  <c r="E5" i="15"/>
  <c r="B5" i="14"/>
  <c r="C5" i="14" s="1"/>
  <c r="J19" i="6"/>
  <c r="I20" i="12"/>
  <c r="B4" i="14"/>
  <c r="B3" i="14"/>
  <c r="B2" i="14"/>
  <c r="H20" i="12"/>
  <c r="G20" i="12"/>
  <c r="F20" i="12"/>
  <c r="E20" i="12"/>
  <c r="A2" i="12" a="1"/>
  <c r="E19" i="6"/>
  <c r="E17" i="6"/>
  <c r="E13" i="6"/>
  <c r="E11" i="6"/>
  <c r="E9" i="6"/>
  <c r="V4" i="8" a="1"/>
  <c r="V3" i="8" a="1"/>
  <c r="V2" i="8" a="1"/>
  <c r="V1" i="8" a="1"/>
  <c r="A2" i="6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" i="15"/>
  <c r="E3" i="15" s="1"/>
  <c r="C2" i="15"/>
  <c r="E2" i="15" s="1"/>
  <c r="C2" i="14"/>
  <c r="C3" i="14"/>
  <c r="C4" i="14"/>
  <c r="E4" i="15"/>
  <c r="Y29" i="2" l="1"/>
  <c r="Y8" i="2"/>
  <c r="Y20" i="2"/>
  <c r="Y22" i="2"/>
  <c r="Y26" i="2"/>
  <c r="Y18" i="2"/>
  <c r="Y3" i="2"/>
  <c r="Y13" i="2"/>
  <c r="Y19" i="2"/>
  <c r="Y25" i="2"/>
  <c r="Y17" i="2"/>
  <c r="Y5" i="2"/>
  <c r="Y32" i="2"/>
  <c r="Y6" i="2"/>
  <c r="Y9" i="2"/>
  <c r="Y10" i="2"/>
  <c r="Y11" i="2"/>
  <c r="Y15" i="2"/>
  <c r="Y16" i="2"/>
  <c r="Y34" i="2"/>
  <c r="Y4" i="2"/>
  <c r="Y2" i="2"/>
  <c r="Y30" i="2"/>
  <c r="Y33" i="2"/>
  <c r="Y12" i="2"/>
  <c r="Y7" i="2"/>
  <c r="Y23" i="2"/>
  <c r="G8" i="6"/>
  <c r="I7" i="6"/>
  <c r="I15" i="6"/>
  <c r="I8" i="6"/>
  <c r="H8" i="6"/>
  <c r="G7" i="6"/>
  <c r="H4" i="6"/>
  <c r="G15" i="6"/>
  <c r="H7" i="6"/>
  <c r="H15" i="6"/>
  <c r="I4" i="6"/>
  <c r="G12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G4" i="6"/>
  <c r="I12" i="6"/>
  <c r="H12" i="6"/>
  <c r="D2" i="14"/>
  <c r="F2" i="14" s="1"/>
  <c r="H10" i="6"/>
  <c r="D4" i="14"/>
  <c r="F4" i="14" s="1"/>
  <c r="I10" i="6"/>
  <c r="D3" i="14"/>
  <c r="F3" i="14" s="1"/>
  <c r="G10" i="6"/>
  <c r="I14" i="6"/>
  <c r="H14" i="6"/>
  <c r="G14" i="6"/>
  <c r="G17" i="6"/>
  <c r="I17" i="6"/>
  <c r="H17" i="6"/>
  <c r="G9" i="6"/>
  <c r="I9" i="6"/>
  <c r="H9" i="6"/>
  <c r="H13" i="6"/>
  <c r="G13" i="6"/>
  <c r="I13" i="6"/>
  <c r="H11" i="6"/>
  <c r="I11" i="6"/>
  <c r="G11" i="6"/>
  <c r="H19" i="6"/>
  <c r="G19" i="6"/>
  <c r="I19" i="6"/>
  <c r="G3" i="6"/>
  <c r="H3" i="6"/>
  <c r="I3" i="6"/>
  <c r="H18" i="6"/>
  <c r="G18" i="6"/>
  <c r="I18" i="6"/>
  <c r="H16" i="6"/>
  <c r="I16" i="6"/>
  <c r="G16" i="6"/>
  <c r="G5" i="6"/>
  <c r="I5" i="6"/>
  <c r="H5" i="6"/>
  <c r="H6" i="6"/>
  <c r="I6" i="6"/>
  <c r="G6" i="6"/>
  <c r="E4" i="14"/>
  <c r="D4" i="15"/>
  <c r="E2" i="14" l="1"/>
  <c r="E3" i="14"/>
  <c r="D2" i="15"/>
  <c r="J20" i="6"/>
  <c r="D3" i="15"/>
  <c r="E5" i="14"/>
  <c r="D5" i="14"/>
  <c r="F5" i="14" s="1"/>
  <c r="D5" i="15"/>
  <c r="I2" i="6"/>
  <c r="I20" i="6" s="1"/>
  <c r="G2" i="6"/>
  <c r="G20" i="6" s="1"/>
  <c r="H2" i="6"/>
  <c r="H20" i="6" s="1"/>
  <c r="A2" i="6"/>
  <c r="V4" i="8"/>
  <c r="V3" i="8"/>
  <c r="V2" i="8"/>
  <c r="V1" i="8"/>
  <c r="A2" i="12"/>
  <c r="A1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<sst xmlns="http://schemas.openxmlformats.org/spreadsheetml/2006/main" count="1063" uniqueCount="450">
  <si>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</si>
  <si>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</si>
  <si>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</si>
  <si>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</si>
  <si>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</si>
  <si>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</si>
  <si>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</si>
  <si>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</si>
  <si>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</si>
  <si>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</si>
  <si>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</si>
  <si>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</si>
  <si>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</si>
  <si>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</si>
  <si>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</si>
  <si>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</si>
  <si>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</si>
  <si>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</si>
  <si>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</si>
  <si>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</si>
  <si>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</si>
  <si>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 del mes</t>
  </si>
  <si>
    <t>Sem-Año</t>
  </si>
  <si>
    <t>Estado Growth</t>
  </si>
  <si>
    <t>Comentarios</t>
  </si>
  <si>
    <t>Y</t>
  </si>
  <si>
    <t>X</t>
  </si>
  <si>
    <t>Juan Rojas</t>
  </si>
  <si>
    <t>juanp.rojas@oxxo.com</t>
  </si>
  <si>
    <t>14/07/2026</t>
  </si>
  <si>
    <t>07:43</t>
  </si>
  <si>
    <t>07</t>
  </si>
  <si>
    <t>Enviado</t>
  </si>
  <si>
    <t>Prueba 1</t>
  </si>
  <si>
    <t>Centro</t>
  </si>
  <si>
    <t>Bogotá</t>
  </si>
  <si>
    <t>Cualquier cosa</t>
  </si>
  <si>
    <t>Bsbsjaha</t>
  </si>
  <si>
    <t>Base</t>
  </si>
  <si>
    <t>Esquinero</t>
  </si>
  <si>
    <t>Zona Comercial</t>
  </si>
  <si>
    <t>Hshshs</t>
  </si>
  <si>
    <t>Hahshs</t>
  </si>
  <si>
    <t>Foto: https://oxxo-colombia.oneapp.cl/static/img/Respuesta/62602229/6d8ffd2e8c6478e019c6e6f2f184cd89.jpg</t>
  </si>
  <si>
    <t>N/A</t>
  </si>
  <si>
    <t>SANDRA PADILLA</t>
  </si>
  <si>
    <t>sandra.padilla@oxxo.com</t>
  </si>
  <si>
    <t>08:19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</si>
  <si>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</si>
  <si>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</si>
  <si>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</si>
  <si>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</si>
  <si>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</si>
  <si>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</si>
  <si>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</si>
  <si>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</si>
  <si>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08:31</t>
  </si>
  <si>
    <t>Cra 8#17-25</t>
  </si>
  <si>
    <t>https://maps.app.goo.gl/sQCBBmYmfUFgSJJw5?g_st=ic</t>
  </si>
  <si>
    <t>Zona Administrativa</t>
  </si>
  <si>
    <t>Jajahdy</t>
  </si>
  <si>
    <t>Foto: https://oxxo-colombia.oneapp.cl/static/img/Respuesta/62607707/a67a6d94f2caa7f4eddd443c3d853b30.jpg</t>
  </si>
  <si>
    <t>JOHN ALEJANDRO ALZATE ALZATE</t>
  </si>
  <si>
    <t>john.alzate@oxxo.com</t>
  </si>
  <si>
    <t>Prueba alejando alzate</t>
  </si>
  <si>
    <t>Occidente</t>
  </si>
  <si>
    <t>Eje Cafetero</t>
  </si>
  <si>
    <t>Calle 10 10 01</t>
  </si>
  <si>
    <t>https://maps.app.goo.gl/zs9eYrx3BXeghThK7?g_st=ac</t>
  </si>
  <si>
    <t xml:space="preserve">Receso </t>
  </si>
  <si>
    <t>Zona Residencial</t>
  </si>
  <si>
    <t>Prueba</t>
  </si>
  <si>
    <t>Foto: https://oxxo-colombia.oneapp.cl/static/img/Respuesta/62607776/1bbc7e3ecea7bb71752ba7f613178b51.jpg
Foto: https://oxxo-colombia.oneapp.cl/static/img/Respuesta/62607776/d01736f34cf7d2fbf49c953d76e353f2.jpg</t>
  </si>
  <si>
    <t>KATERIN  DIAZ ZORRO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</si>
  <si>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</si>
  <si>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</si>
  <si>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</si>
  <si>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</si>
  <si>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</si>
  <si>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</si>
  <si>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</si>
  <si>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</si>
  <si>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</si>
  <si>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</si>
  <si>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</si>
  <si>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</si>
  <si>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</si>
  <si>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 HERNANDEZ</t>
  </si>
  <si>
    <t>jairo.hernandez@oxxo.com</t>
  </si>
  <si>
    <t>15:19</t>
  </si>
  <si>
    <t>Oxxo Bolivar Desnudo</t>
  </si>
  <si>
    <t>Calle 19 carrera 7 esquina</t>
  </si>
  <si>
    <t>https://maps.app.goo.gl/cyi7f3fML7fKbAXTA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</si>
  <si>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</si>
  <si>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</si>
  <si>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</si>
  <si>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</si>
  <si>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</si>
  <si>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</si>
  <si>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</si>
  <si>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</si>
  <si>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</si>
  <si>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</si>
  <si>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</si>
  <si>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</si>
  <si>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</si>
  <si>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</si>
  <si>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</si>
  <si>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</si>
  <si>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</si>
  <si>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</si>
  <si>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</si>
  <si>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</si>
  <si>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</si>
  <si>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</si>
  <si>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</si>
  <si>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</si>
  <si>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</si>
  <si>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</si>
  <si>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</si>
  <si>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</si>
  <si>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</si>
  <si>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</si>
  <si>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</si>
  <si>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</si>
  <si>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</si>
  <si>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</si>
  <si>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</si>
  <si>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</si>
  <si>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</si>
  <si>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</si>
  <si>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</si>
  <si>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</si>
  <si>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</si>
  <si>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</si>
  <si>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</si>
  <si>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</si>
  <si>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</si>
  <si>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</si>
  <si>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</si>
  <si>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</si>
  <si>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</si>
  <si>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</si>
  <si>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</si>
  <si>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</si>
  <si>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</si>
  <si>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</si>
  <si>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</si>
  <si>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</si>
  <si>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</si>
  <si>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</si>
  <si>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</si>
  <si>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</si>
  <si>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</si>
  <si>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</si>
  <si>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</si>
  <si>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</si>
  <si>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</si>
  <si>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</si>
  <si>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</si>
  <si>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</si>
  <si>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</si>
  <si>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</si>
  <si>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</si>
  <si>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</si>
  <si>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</si>
  <si>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Foto: 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</si>
  <si>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</si>
  <si>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</si>
  <si>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</si>
  <si>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</si>
  <si>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</si>
  <si>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</si>
  <si>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</si>
  <si>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</si>
  <si>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</si>
  <si>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</si>
  <si>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</si>
  <si>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</si>
  <si>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</si>
  <si>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</si>
  <si>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</si>
  <si>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</si>
  <si>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</si>
  <si>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</si>
  <si>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No se sube a Growth debido a que está repetido, un jefe de zona lo subió primero ( Rubio 53)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</si>
  <si>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</si>
  <si>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</si>
  <si>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</si>
  <si>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</si>
  <si>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</si>
  <si>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</si>
  <si>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</si>
  <si>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</si>
  <si>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</si>
  <si>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</si>
  <si>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</si>
  <si>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</si>
  <si>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</si>
  <si>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</si>
  <si>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</si>
  <si>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</si>
  <si>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</si>
  <si>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</si>
  <si>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</si>
  <si>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</si>
  <si>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</si>
  <si>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</si>
  <si>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</si>
  <si>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</si>
  <si>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</si>
  <si>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</si>
  <si>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</si>
  <si>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</si>
  <si>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</si>
  <si>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</si>
  <si>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</si>
  <si>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</si>
  <si>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</si>
  <si>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</si>
  <si>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</si>
  <si>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</si>
  <si>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</si>
  <si>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</si>
  <si>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</si>
  <si>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</si>
  <si>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</si>
  <si>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</si>
  <si>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</si>
  <si>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</si>
  <si>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</si>
  <si>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</si>
  <si>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</si>
  <si>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</si>
  <si>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</si>
  <si>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</si>
  <si>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</si>
  <si>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</si>
  <si>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</si>
  <si>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</si>
  <si>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</si>
  <si>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</si>
  <si>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</si>
  <si>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</si>
  <si>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</si>
  <si>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</si>
  <si>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</si>
  <si>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</si>
  <si>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</si>
  <si>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</si>
  <si>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</si>
  <si>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</si>
  <si>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</si>
  <si>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</si>
  <si>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</si>
  <si>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</si>
  <si>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</si>
  <si>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</si>
  <si>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</si>
  <si>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</si>
  <si>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</si>
  <si>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</si>
  <si>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</si>
  <si>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</si>
  <si>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</si>
  <si>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</si>
  <si>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</si>
  <si>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</si>
  <si>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</si>
  <si>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</si>
  <si>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</si>
  <si>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</si>
  <si>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</si>
  <si>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</si>
  <si>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</si>
  <si>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</si>
  <si>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</si>
  <si>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</si>
  <si>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</si>
  <si>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</si>
  <si>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</si>
  <si>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</si>
  <si>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</si>
  <si>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</si>
  <si>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</si>
  <si>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</si>
  <si>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</si>
  <si>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(Varios elementos)</t>
  </si>
  <si>
    <t>Etiquetas de fila</t>
  </si>
  <si>
    <t xml:space="preserve">Cuenta de Nombre del Punto </t>
  </si>
  <si>
    <t>Total general</t>
  </si>
  <si>
    <t>Puntos potenciales</t>
  </si>
  <si>
    <t>Antioquia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</si>
  <si>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</si>
  <si>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</si>
  <si>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</si>
  <si>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</si>
  <si>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</si>
  <si>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</si>
  <si>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</si>
  <si>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</si>
  <si>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</si>
  <si>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</si>
  <si>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Valle</t>
  </si>
  <si>
    <t>Meta</t>
  </si>
  <si>
    <t>29-2026</t>
  </si>
  <si>
    <t>Especialista</t>
  </si>
  <si>
    <t xml:space="preserve">Microcelula </t>
  </si>
  <si>
    <t>COD</t>
  </si>
  <si>
    <t>Activo</t>
  </si>
  <si>
    <t>Meta efectivos</t>
  </si>
  <si>
    <t>26-2026</t>
  </si>
  <si>
    <t>27-2026</t>
  </si>
  <si>
    <t>28-2026</t>
  </si>
  <si>
    <t>NO</t>
  </si>
  <si>
    <t>Esp_2</t>
  </si>
  <si>
    <t>SI</t>
  </si>
  <si>
    <t>Esp_1</t>
  </si>
  <si>
    <t>Esp_8</t>
  </si>
  <si>
    <t>Esp_4</t>
  </si>
  <si>
    <t>Esp_5</t>
  </si>
  <si>
    <t>Esp_3</t>
  </si>
  <si>
    <t>Celula 1</t>
  </si>
  <si>
    <t>Celula 2</t>
  </si>
  <si>
    <t>Esp_6</t>
  </si>
  <si>
    <t>Micro_Bog_1</t>
  </si>
  <si>
    <t>Celula 3</t>
  </si>
  <si>
    <t>NA</t>
  </si>
  <si>
    <t>Esp_7</t>
  </si>
  <si>
    <t>Ariam Cruz</t>
  </si>
  <si>
    <t>Total</t>
  </si>
  <si>
    <t>COD ESP</t>
  </si>
  <si>
    <t>GONZALEZ GOMEZ JURY CAROLINA</t>
  </si>
  <si>
    <t>Micro_Bog_2</t>
  </si>
  <si>
    <t>TORRES MARTINEZ CINDY YESENIA</t>
  </si>
  <si>
    <t>DIAZ ORTIZ LINA</t>
  </si>
  <si>
    <t>ACUNA ROJAS JENNY</t>
  </si>
  <si>
    <t>MEJIA TUTA LEIDY</t>
  </si>
  <si>
    <t>LOPEZ CANDAMIL MARTHA LILIANA</t>
  </si>
  <si>
    <t>BOLAÑOS DIAZ CARLOS</t>
  </si>
  <si>
    <t>Rojas Romero Alejandra</t>
  </si>
  <si>
    <t>Micro_Med_1</t>
  </si>
  <si>
    <t>JORGE WILLIAM GRANADOS RUIZ</t>
  </si>
  <si>
    <t>ELVIA JAIMES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</si>
  <si>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</si>
  <si>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</si>
  <si>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</si>
  <si>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</si>
  <si>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</si>
  <si>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</si>
  <si>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</si>
  <si>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</si>
  <si>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</si>
  <si>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</si>
  <si>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</si>
  <si>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</si>
  <si>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</si>
  <si>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</si>
  <si>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</si>
  <si>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</si>
  <si>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</si>
  <si>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</si>
  <si>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</si>
  <si>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</si>
  <si>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</si>
  <si>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Festivo</t>
  </si>
  <si>
    <t>Meta sin Festivo</t>
  </si>
  <si>
    <t>Semana</t>
  </si>
  <si>
    <t>Festivo</t>
  </si>
  <si>
    <t xml:space="preserve">Meta </t>
  </si>
  <si>
    <t>Total Visitas</t>
  </si>
  <si>
    <t>MES</t>
  </si>
  <si>
    <t>Cumplimiento</t>
  </si>
  <si>
    <t>Total Efectivos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</si>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</sst>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6F977"/>
        <bgColor indexed="64"/>
      </patternFill>
    </fill>
    <fill>
      <patternFill patternType="solid">
        <fgColor theme="4" tint="0.79998168889431442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0" fontId="0" fillId="36" borderId="0" xfId="0" applyFill="1"/>
    <xf numFmtId="0" fontId="16" fillId="36" borderId="0" xfId="0" applyFont="1" applyFill="1"/>
    <xf numFmtId="1" fontId="16" fillId="36" borderId="0" xfId="0" applyNumberFormat="1" applyFont="1" applyFill="1" applyAlignment="1">
      <alignment horizontal="center"/>
    </xf>
    <xf numFmtId="1" fontId="16" fillId="36" borderId="0" xfId="0" applyNumberFormat="1" applyFont="1" applyFill="1"/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164" fontId="0" fillId="36" borderId="0" xfId="44" applyNumberFormat="1" applyFont="1" applyFill="1"/>
    <xf numFmtId="0" fontId="16" fillId="0" borderId="0" xfId="0" applyFont="1"/>
    <xf numFmtId="0" fontId="16" fillId="36" borderId="0" xfId="0" applyFont="1" applyFill="1" applyAlignment="1">
      <alignment horizontal="left"/>
    </xf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8" borderId="10" xfId="0" applyFill="1" applyBorder="1" applyAlignment="1">
      <alignment vertical="top" wrapText="1"/>
    </xf>
    <xf numFmtId="0" fontId="19" fillId="0" borderId="10" xfId="42" applyBorder="1" applyAlignment="1">
      <alignment vertical="top" wrapText="1"/>
    </xf>
    <xf numFmtId="0" fontId="25" fillId="39" borderId="10" xfId="0" applyFont="1" applyFill="1" applyBorder="1" applyAlignment="1">
      <alignment horizontal="center" vertical="center" wrapText="1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4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4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29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ZgYr7gZUWwWBfsNb6?g_st=ic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26" Type="http://schemas.openxmlformats.org/officeDocument/2006/relationships/hyperlink" Target="https://maps.app.goo.gl/UgKek3eZnzV3KFSy6" TargetMode="External"/><Relationship Id="rId3" Type="http://schemas.openxmlformats.org/officeDocument/2006/relationships/hyperlink" Target="https://maps.app.goo.gl/cyi7f3fML7fKbAXTA" TargetMode="External"/><Relationship Id="rId21" Type="http://schemas.openxmlformats.org/officeDocument/2006/relationships/hyperlink" Target="https://maps.app.goo.gl/8ZCCS79gfk7pGP9C6?g_st=iw" TargetMode="External"/><Relationship Id="rId7" Type="http://schemas.openxmlformats.org/officeDocument/2006/relationships/hyperlink" Target="https://maps.app.goo.gl/a95PSeawc8zDeAyD7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25" Type="http://schemas.openxmlformats.org/officeDocument/2006/relationships/hyperlink" Target="https://maps.app.goo.gl/xqXqLXgy7UCyB6pz9?g_st=ac" TargetMode="External"/><Relationship Id="rId2" Type="http://schemas.openxmlformats.org/officeDocument/2006/relationships/hyperlink" Target="https://maps.app.goo.gl/RdznzFN8oeXt4BzY8?g_st=iw" TargetMode="External"/><Relationship Id="rId16" Type="http://schemas.openxmlformats.org/officeDocument/2006/relationships/hyperlink" Target="https://maps.app.goo.gl/XKjbjeAS9omZeFTB7?g_st=iw" TargetMode="External"/><Relationship Id="rId20" Type="http://schemas.openxmlformats.org/officeDocument/2006/relationships/hyperlink" Target="https://maps.app.goo.gl/Zs8Bp3Xwscm3Lyq39" TargetMode="External"/><Relationship Id="rId29" Type="http://schemas.openxmlformats.org/officeDocument/2006/relationships/hyperlink" Target="https://maps.app.goo.gl/QEQfuLMTfSvDtyZS7?g_st=ac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11" Type="http://schemas.openxmlformats.org/officeDocument/2006/relationships/hyperlink" Target="https://maps.app.goo.gl/uNEnpfgoDAbeptMD7?g_st=ac" TargetMode="External"/><Relationship Id="rId24" Type="http://schemas.openxmlformats.org/officeDocument/2006/relationships/hyperlink" Target="https://maps.app.goo.gl/RXJBFg5X1vNJ3zZ66?g_st=iw" TargetMode="External"/><Relationship Id="rId32" Type="http://schemas.openxmlformats.org/officeDocument/2006/relationships/hyperlink" Target="https://maps.app.goo.gl/M7GS1t882L9X2s5X7?g_st=ac" TargetMode="External"/><Relationship Id="rId5" Type="http://schemas.openxmlformats.org/officeDocument/2006/relationships/hyperlink" Target="mailto:memito-palacio@hotmail.com" TargetMode="External"/><Relationship Id="rId15" Type="http://schemas.openxmlformats.org/officeDocument/2006/relationships/hyperlink" Target="https://maps.app.goo.gl/9rC2X5676JGMq3sp8?g_st=iw" TargetMode="External"/><Relationship Id="rId23" Type="http://schemas.openxmlformats.org/officeDocument/2006/relationships/hyperlink" Target="https://maps.app.goo.gl/PhzXtYjgkKMemPb39?g_st=iw" TargetMode="External"/><Relationship Id="rId28" Type="http://schemas.openxmlformats.org/officeDocument/2006/relationships/hyperlink" Target="https://maps.app.goo.gl/5bYucWhBPLEHru7D8" TargetMode="External"/><Relationship Id="rId10" Type="http://schemas.openxmlformats.org/officeDocument/2006/relationships/hyperlink" Target="https://maps.app.goo.gl/2TZH47f4N86NTjSb6?g_st=ic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31" Type="http://schemas.openxmlformats.org/officeDocument/2006/relationships/hyperlink" Target="https://maps.app.goo.gl/crfJcUJxJcrVFGAw8?g_st=awb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4" Type="http://schemas.openxmlformats.org/officeDocument/2006/relationships/hyperlink" Target="https://goo.gl/maps/hD1QaqZei8hNKnUy5?g_st=aw" TargetMode="External"/><Relationship Id="rId22" Type="http://schemas.openxmlformats.org/officeDocument/2006/relationships/hyperlink" Target="https://maps.app.goo.gl/sQCBBmYmfUFgSJJw5?g_st=ic" TargetMode="External"/><Relationship Id="rId27" Type="http://schemas.openxmlformats.org/officeDocument/2006/relationships/hyperlink" Target="https://maps.app.goo.gl/4XVD4C94joAnoLQU8?g_st=aw" TargetMode="External"/><Relationship Id="rId30" Type="http://schemas.openxmlformats.org/officeDocument/2006/relationships/hyperlink" Target="https://maps.app.goo.gl/DsZejbLUvxEXoxAA6?g_st=awb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C34"/>
  <sheetViews>
    <sheetView showGridLines="0" tabSelected="1" zoomScale="84" zoomScaleNormal="93" workbookViewId="0">
      <pane xSplit="2" ySplit="1" topLeftCell="X2" activePane="bottomRight" state="frozen"/>
      <selection pane="bottomRight" activeCell="AB1" sqref="AB1:AC1048576"/>
      <selection pane="bottomLeft" activeCell="A2" sqref="A2"/>
      <selection pane="topRight" activeCell="C1" sqref="C1"/>
    </sheetView>
  </sheetViews>
  <sheetFormatPr defaultColWidth="11.42578125" defaultRowHeight="14.45"/>
  <cols>
    <col min="1" max="1" width="8.28515625" bestFit="1" customWidth="1"/>
    <col min="2" max="2" width="17.42578125" bestFit="1" customWidth="1"/>
    <col min="3" max="3" width="11.28515625" bestFit="1" customWidth="1"/>
    <col min="4" max="4" width="30" customWidth="1"/>
    <col min="5" max="5" width="11.85546875" customWidth="1"/>
    <col min="6" max="6" width="5.42578125" bestFit="1" customWidth="1"/>
    <col min="7" max="7" width="5.140625" bestFit="1" customWidth="1"/>
    <col min="8" max="8" width="4.5703125" bestFit="1" customWidth="1"/>
    <col min="9" max="9" width="8.42578125" customWidth="1"/>
    <col min="10" max="10" width="10.42578125" bestFit="1" customWidth="1"/>
    <col min="11" max="11" width="10.42578125" customWidth="1"/>
    <col min="12" max="12" width="18.140625" bestFit="1" customWidth="1"/>
    <col min="13" max="27" width="18.140625" customWidth="1"/>
    <col min="28" max="28" width="12.5703125" bestFit="1" customWidth="1"/>
    <col min="29" max="29" width="13" bestFit="1" customWidth="1"/>
    <col min="30" max="35" width="18.140625" customWidth="1"/>
    <col min="36" max="36" width="8" customWidth="1"/>
    <col min="37" max="37" width="35.140625" bestFit="1" customWidth="1"/>
    <col min="38" max="38" width="25" bestFit="1" customWidth="1"/>
    <col min="39" max="39" width="24.85546875" bestFit="1" customWidth="1"/>
    <col min="40" max="40" width="98.7109375" customWidth="1"/>
    <col min="44" max="44" width="11.5703125" bestFit="1" customWidth="1"/>
    <col min="45" max="45" width="19.5703125" bestFit="1" customWidth="1"/>
  </cols>
  <sheetData>
    <row r="1" spans="1:29" ht="45.7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31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" t="s">
        <v>21</v>
      </c>
      <c r="W1" s="2" t="s">
        <v>7</v>
      </c>
      <c r="X1" s="2" t="s">
        <v>6</v>
      </c>
      <c r="Y1" s="2" t="s">
        <v>22</v>
      </c>
      <c r="Z1" s="2" t="s">
        <v>23</v>
      </c>
      <c r="AA1" s="2" t="s">
        <v>24</v>
      </c>
      <c r="AB1" s="2" t="s">
        <v>25</v>
      </c>
      <c r="AC1" s="2" t="s">
        <v>26</v>
      </c>
    </row>
    <row r="2" spans="1:29" ht="32.1" customHeight="1">
      <c r="A2" s="29">
        <v>3649217</v>
      </c>
      <c r="B2" s="26" t="s">
        <v>27</v>
      </c>
      <c r="C2" s="26" t="s">
        <v>28</v>
      </c>
      <c r="D2" s="26" t="s">
        <v>29</v>
      </c>
      <c r="E2" s="26" t="s">
        <v>29</v>
      </c>
      <c r="F2" s="26" t="s">
        <v>30</v>
      </c>
      <c r="G2" s="26">
        <v>2026</v>
      </c>
      <c r="H2" s="26" t="s">
        <v>31</v>
      </c>
      <c r="I2" s="26" t="s">
        <v>32</v>
      </c>
      <c r="J2" s="26" t="s">
        <v>33</v>
      </c>
      <c r="K2" s="26"/>
      <c r="L2" s="26" t="s">
        <v>34</v>
      </c>
      <c r="M2" s="26" t="s">
        <v>35</v>
      </c>
      <c r="N2" s="26" t="s">
        <v>36</v>
      </c>
      <c r="O2" s="26" t="s">
        <v>37</v>
      </c>
      <c r="P2" s="26" t="s">
        <v>38</v>
      </c>
      <c r="Q2" s="26" t="s">
        <v>39</v>
      </c>
      <c r="R2" s="26" t="s">
        <v>40</v>
      </c>
      <c r="S2" s="26" t="s">
        <v>41</v>
      </c>
      <c r="T2" s="26" t="s">
        <v>42</v>
      </c>
      <c r="U2" s="26" t="s">
        <v>43</v>
      </c>
      <c r="V2">
        <f>WEEKNUM(E2)</f>
        <v>29</v>
      </c>
      <c r="W2">
        <f t="shared" ref="W2:W34" si="0">MONTH(E2)</f>
        <v>7</v>
      </c>
      <c r="X2">
        <f t="shared" ref="X2:X34" si="1">YEAR(E2)</f>
        <v>2026</v>
      </c>
      <c r="Y2" t="str">
        <f>_xlfn.CONCAT(V2,"-",X2)</f>
        <v>29-2026</v>
      </c>
      <c r="Z2" t="s">
        <v>44</v>
      </c>
    </row>
    <row r="3" spans="1:29" ht="32.1" customHeight="1">
      <c r="A3" s="29">
        <v>3649249</v>
      </c>
      <c r="B3" s="26" t="s">
        <v>45</v>
      </c>
      <c r="C3" s="26" t="s">
        <v>46</v>
      </c>
      <c r="D3" s="26" t="s">
        <v>29</v>
      </c>
      <c r="E3" s="26" t="s">
        <v>29</v>
      </c>
      <c r="F3" s="26" t="s">
        <v>47</v>
      </c>
      <c r="G3" s="26">
        <v>2026</v>
      </c>
      <c r="H3" s="26" t="s">
        <v>31</v>
      </c>
      <c r="I3" s="26" t="s">
        <v>32</v>
      </c>
      <c r="J3" s="26" t="s">
        <v>48</v>
      </c>
      <c r="K3" s="26"/>
      <c r="L3" s="26" t="s">
        <v>49</v>
      </c>
      <c r="M3" s="26" t="s">
        <v>50</v>
      </c>
      <c r="N3" s="26" t="s">
        <v>51</v>
      </c>
      <c r="O3" s="26" t="s">
        <v>52</v>
      </c>
      <c r="P3" s="26" t="s">
        <v>38</v>
      </c>
      <c r="Q3" s="26" t="s">
        <v>39</v>
      </c>
      <c r="R3" s="26" t="s">
        <v>40</v>
      </c>
      <c r="S3" s="26" t="s">
        <v>53</v>
      </c>
      <c r="T3" s="26">
        <v>3007751069</v>
      </c>
      <c r="U3" s="26" t="s">
        <v>54</v>
      </c>
      <c r="V3">
        <f t="shared" ref="V2:V34" si="2">WEEKNUM(E3)</f>
        <v>29</v>
      </c>
      <c r="W3">
        <f t="shared" si="0"/>
        <v>7</v>
      </c>
      <c r="X3">
        <f t="shared" si="1"/>
        <v>2026</v>
      </c>
      <c r="Y3" t="str">
        <f t="shared" ref="Y3:Y34" si="3">_xlfn.CONCAT(V3,"-",X3)</f>
        <v>29-2026</v>
      </c>
      <c r="Z3" t="s">
        <v>55</v>
      </c>
      <c r="AB3">
        <v>7.0706374277242299</v>
      </c>
      <c r="AC3">
        <v>-73.105528329117803</v>
      </c>
    </row>
    <row r="4" spans="1:29" ht="32.1" customHeight="1">
      <c r="A4" s="29">
        <v>3649241</v>
      </c>
      <c r="B4" s="26" t="s">
        <v>27</v>
      </c>
      <c r="C4" s="26" t="s">
        <v>28</v>
      </c>
      <c r="D4" s="26" t="s">
        <v>29</v>
      </c>
      <c r="E4" s="26" t="s">
        <v>29</v>
      </c>
      <c r="F4" s="26" t="s">
        <v>56</v>
      </c>
      <c r="G4" s="26">
        <v>2026</v>
      </c>
      <c r="H4" s="26" t="s">
        <v>31</v>
      </c>
      <c r="I4" s="26" t="s">
        <v>32</v>
      </c>
      <c r="J4" s="26" t="s">
        <v>33</v>
      </c>
      <c r="K4" s="26"/>
      <c r="L4" s="26" t="s">
        <v>34</v>
      </c>
      <c r="M4" s="26" t="s">
        <v>35</v>
      </c>
      <c r="N4" s="26" t="s">
        <v>57</v>
      </c>
      <c r="O4" s="30" t="s">
        <v>58</v>
      </c>
      <c r="P4" s="26" t="s">
        <v>38</v>
      </c>
      <c r="Q4" s="26" t="s">
        <v>39</v>
      </c>
      <c r="R4" s="26" t="s">
        <v>59</v>
      </c>
      <c r="S4" s="26">
        <v>3115620222</v>
      </c>
      <c r="T4" s="26" t="s">
        <v>60</v>
      </c>
      <c r="U4" s="26" t="s">
        <v>61</v>
      </c>
      <c r="V4">
        <f t="shared" si="2"/>
        <v>29</v>
      </c>
      <c r="W4">
        <f t="shared" si="0"/>
        <v>7</v>
      </c>
      <c r="X4">
        <f t="shared" si="1"/>
        <v>2026</v>
      </c>
      <c r="Y4" t="str">
        <f t="shared" si="3"/>
        <v>29-2026</v>
      </c>
      <c r="Z4" t="s">
        <v>44</v>
      </c>
    </row>
    <row r="5" spans="1:29" ht="32.1" customHeight="1">
      <c r="A5" s="29">
        <v>3649264</v>
      </c>
      <c r="B5" s="26" t="s">
        <v>62</v>
      </c>
      <c r="C5" s="26" t="s">
        <v>63</v>
      </c>
      <c r="D5" s="26" t="s">
        <v>29</v>
      </c>
      <c r="E5" s="26" t="s">
        <v>29</v>
      </c>
      <c r="F5" s="26" t="s">
        <v>56</v>
      </c>
      <c r="G5" s="26">
        <v>2026</v>
      </c>
      <c r="H5" s="26" t="s">
        <v>31</v>
      </c>
      <c r="I5" s="26" t="s">
        <v>32</v>
      </c>
      <c r="J5" s="26" t="s">
        <v>64</v>
      </c>
      <c r="K5" s="26"/>
      <c r="L5" s="26" t="s">
        <v>65</v>
      </c>
      <c r="M5" s="26" t="s">
        <v>66</v>
      </c>
      <c r="N5" s="26" t="s">
        <v>67</v>
      </c>
      <c r="O5" s="26" t="s">
        <v>68</v>
      </c>
      <c r="P5" s="26" t="s">
        <v>69</v>
      </c>
      <c r="Q5" s="26" t="s">
        <v>39</v>
      </c>
      <c r="R5" s="26" t="s">
        <v>70</v>
      </c>
      <c r="S5" s="26" t="s">
        <v>71</v>
      </c>
      <c r="T5" s="26" t="s">
        <v>71</v>
      </c>
      <c r="U5" s="26" t="s">
        <v>72</v>
      </c>
      <c r="V5">
        <f t="shared" si="2"/>
        <v>29</v>
      </c>
      <c r="W5">
        <f t="shared" si="0"/>
        <v>7</v>
      </c>
      <c r="X5">
        <f t="shared" si="1"/>
        <v>2026</v>
      </c>
      <c r="Y5" t="str">
        <f t="shared" si="3"/>
        <v>29-2026</v>
      </c>
      <c r="Z5" t="s">
        <v>44</v>
      </c>
    </row>
    <row r="6" spans="1:29" ht="32.1" customHeight="1">
      <c r="A6" s="29">
        <v>3649288</v>
      </c>
      <c r="B6" s="26" t="s">
        <v>73</v>
      </c>
      <c r="C6" s="26" t="s">
        <v>74</v>
      </c>
      <c r="D6" s="26" t="s">
        <v>29</v>
      </c>
      <c r="E6" s="26" t="s">
        <v>29</v>
      </c>
      <c r="F6" s="26" t="s">
        <v>75</v>
      </c>
      <c r="G6" s="26">
        <v>2026</v>
      </c>
      <c r="H6" s="26" t="s">
        <v>31</v>
      </c>
      <c r="I6" s="26" t="s">
        <v>32</v>
      </c>
      <c r="J6" s="26" t="s">
        <v>76</v>
      </c>
      <c r="K6" s="26"/>
      <c r="L6" s="26" t="s">
        <v>34</v>
      </c>
      <c r="M6" s="26" t="s">
        <v>35</v>
      </c>
      <c r="N6" s="26" t="s">
        <v>77</v>
      </c>
      <c r="O6" s="30" t="s">
        <v>78</v>
      </c>
      <c r="P6" s="26" t="s">
        <v>38</v>
      </c>
      <c r="Q6" s="26" t="s">
        <v>39</v>
      </c>
      <c r="R6" s="26" t="s">
        <v>40</v>
      </c>
      <c r="S6" s="26">
        <v>3103340792</v>
      </c>
      <c r="T6" s="26" t="s">
        <v>79</v>
      </c>
      <c r="U6" s="26" t="s">
        <v>80</v>
      </c>
      <c r="V6">
        <f t="shared" si="2"/>
        <v>29</v>
      </c>
      <c r="W6">
        <f t="shared" si="0"/>
        <v>7</v>
      </c>
      <c r="X6">
        <f t="shared" si="1"/>
        <v>2026</v>
      </c>
      <c r="Y6" t="str">
        <f t="shared" si="3"/>
        <v>29-2026</v>
      </c>
      <c r="Z6" t="s">
        <v>55</v>
      </c>
      <c r="AB6">
        <v>4.7402539522694704</v>
      </c>
      <c r="AC6">
        <v>-74.047801728288505</v>
      </c>
    </row>
    <row r="7" spans="1:29" ht="32.1" customHeight="1">
      <c r="A7" s="29">
        <v>3649297</v>
      </c>
      <c r="B7" s="26" t="s">
        <v>73</v>
      </c>
      <c r="C7" s="26" t="s">
        <v>74</v>
      </c>
      <c r="D7" s="26" t="s">
        <v>29</v>
      </c>
      <c r="E7" s="26" t="s">
        <v>29</v>
      </c>
      <c r="F7" s="26" t="s">
        <v>81</v>
      </c>
      <c r="G7" s="26">
        <v>2026</v>
      </c>
      <c r="H7" s="26" t="s">
        <v>31</v>
      </c>
      <c r="I7" s="26" t="s">
        <v>32</v>
      </c>
      <c r="J7" s="26" t="s">
        <v>82</v>
      </c>
      <c r="K7" s="26"/>
      <c r="L7" s="26" t="s">
        <v>34</v>
      </c>
      <c r="M7" s="26" t="s">
        <v>35</v>
      </c>
      <c r="N7" s="26" t="s">
        <v>83</v>
      </c>
      <c r="O7" s="30" t="s">
        <v>84</v>
      </c>
      <c r="P7" s="26" t="s">
        <v>38</v>
      </c>
      <c r="Q7" s="26" t="s">
        <v>39</v>
      </c>
      <c r="R7" s="26" t="s">
        <v>40</v>
      </c>
      <c r="S7" s="26">
        <v>3004550101</v>
      </c>
      <c r="T7" s="26" t="s">
        <v>85</v>
      </c>
      <c r="U7" s="26" t="s">
        <v>86</v>
      </c>
      <c r="V7">
        <f t="shared" si="2"/>
        <v>29</v>
      </c>
      <c r="W7">
        <f t="shared" si="0"/>
        <v>7</v>
      </c>
      <c r="X7">
        <f t="shared" si="1"/>
        <v>2026</v>
      </c>
      <c r="Y7" t="str">
        <f t="shared" si="3"/>
        <v>29-2026</v>
      </c>
      <c r="Z7" t="s">
        <v>55</v>
      </c>
      <c r="AB7">
        <v>4.7487732422165099</v>
      </c>
      <c r="AC7">
        <v>-74.0441775661929</v>
      </c>
    </row>
    <row r="8" spans="1:29" ht="32.1" customHeight="1">
      <c r="A8" s="29">
        <v>3649449</v>
      </c>
      <c r="B8" s="26" t="s">
        <v>87</v>
      </c>
      <c r="C8" s="26" t="s">
        <v>88</v>
      </c>
      <c r="D8" s="26" t="s">
        <v>29</v>
      </c>
      <c r="E8" s="26" t="s">
        <v>29</v>
      </c>
      <c r="F8" s="26" t="s">
        <v>89</v>
      </c>
      <c r="G8" s="26">
        <v>2026</v>
      </c>
      <c r="H8" s="26" t="s">
        <v>31</v>
      </c>
      <c r="I8" s="26" t="s">
        <v>32</v>
      </c>
      <c r="J8" s="26" t="s">
        <v>90</v>
      </c>
      <c r="K8" s="26"/>
      <c r="L8" s="26" t="s">
        <v>65</v>
      </c>
      <c r="M8" s="26" t="s">
        <v>66</v>
      </c>
      <c r="N8" s="26" t="s">
        <v>91</v>
      </c>
      <c r="O8" s="30" t="s">
        <v>92</v>
      </c>
      <c r="P8" s="26" t="s">
        <v>69</v>
      </c>
      <c r="Q8" s="26" t="s">
        <v>39</v>
      </c>
      <c r="R8" s="26" t="s">
        <v>40</v>
      </c>
      <c r="S8" s="26" t="s">
        <v>93</v>
      </c>
      <c r="T8" s="26" t="s">
        <v>94</v>
      </c>
      <c r="U8" s="26" t="s">
        <v>95</v>
      </c>
      <c r="V8">
        <f t="shared" si="2"/>
        <v>29</v>
      </c>
      <c r="W8">
        <f t="shared" si="0"/>
        <v>7</v>
      </c>
      <c r="X8">
        <f t="shared" si="1"/>
        <v>2026</v>
      </c>
      <c r="Y8" t="str">
        <f t="shared" si="3"/>
        <v>29-2026</v>
      </c>
      <c r="Z8" t="s">
        <v>55</v>
      </c>
      <c r="AB8">
        <v>4.8148684273055098</v>
      </c>
      <c r="AC8">
        <v>-75.694004374277299</v>
      </c>
    </row>
    <row r="9" spans="1:29" ht="32.1" customHeight="1">
      <c r="A9" s="29">
        <v>3649582</v>
      </c>
      <c r="B9" s="26" t="s">
        <v>87</v>
      </c>
      <c r="C9" s="26" t="s">
        <v>88</v>
      </c>
      <c r="D9" s="26" t="s">
        <v>29</v>
      </c>
      <c r="E9" s="26" t="s">
        <v>29</v>
      </c>
      <c r="F9" s="26" t="s">
        <v>96</v>
      </c>
      <c r="G9" s="26">
        <v>2026</v>
      </c>
      <c r="H9" s="26" t="s">
        <v>31</v>
      </c>
      <c r="I9" s="26" t="s">
        <v>32</v>
      </c>
      <c r="J9" s="26" t="s">
        <v>97</v>
      </c>
      <c r="K9" s="26"/>
      <c r="L9" s="26" t="s">
        <v>65</v>
      </c>
      <c r="M9" s="26" t="s">
        <v>66</v>
      </c>
      <c r="N9" s="26" t="s">
        <v>98</v>
      </c>
      <c r="O9" s="30" t="s">
        <v>99</v>
      </c>
      <c r="P9" s="26" t="s">
        <v>38</v>
      </c>
      <c r="Q9" s="26" t="s">
        <v>100</v>
      </c>
      <c r="R9" s="26" t="s">
        <v>101</v>
      </c>
      <c r="S9" s="26" t="s">
        <v>102</v>
      </c>
      <c r="T9" s="30" t="s">
        <v>103</v>
      </c>
      <c r="U9" s="26" t="s">
        <v>104</v>
      </c>
      <c r="V9">
        <f t="shared" si="2"/>
        <v>29</v>
      </c>
      <c r="W9">
        <f t="shared" si="0"/>
        <v>7</v>
      </c>
      <c r="X9">
        <f t="shared" si="1"/>
        <v>2026</v>
      </c>
      <c r="Y9" t="str">
        <f t="shared" si="3"/>
        <v>29-2026</v>
      </c>
      <c r="Z9" t="s">
        <v>55</v>
      </c>
      <c r="AB9">
        <v>4.8134006544967303</v>
      </c>
      <c r="AC9">
        <v>-75.699304830684</v>
      </c>
    </row>
    <row r="10" spans="1:29" ht="32.1" customHeight="1">
      <c r="A10" s="29">
        <v>3649592</v>
      </c>
      <c r="B10" s="26" t="s">
        <v>105</v>
      </c>
      <c r="C10" s="26" t="s">
        <v>106</v>
      </c>
      <c r="D10" s="26" t="s">
        <v>29</v>
      </c>
      <c r="E10" s="26" t="s">
        <v>29</v>
      </c>
      <c r="F10" s="26" t="s">
        <v>107</v>
      </c>
      <c r="G10" s="26">
        <v>2026</v>
      </c>
      <c r="H10" s="26" t="s">
        <v>31</v>
      </c>
      <c r="I10" s="26" t="s">
        <v>32</v>
      </c>
      <c r="J10" s="26" t="s">
        <v>108</v>
      </c>
      <c r="K10" s="26"/>
      <c r="L10" s="26" t="s">
        <v>65</v>
      </c>
      <c r="M10" s="26" t="s">
        <v>66</v>
      </c>
      <c r="N10" s="26" t="s">
        <v>109</v>
      </c>
      <c r="O10" s="30" t="s">
        <v>110</v>
      </c>
      <c r="P10" s="26" t="s">
        <v>38</v>
      </c>
      <c r="Q10" s="26" t="s">
        <v>39</v>
      </c>
      <c r="R10" s="26" t="s">
        <v>40</v>
      </c>
      <c r="S10" s="26">
        <v>3009121600</v>
      </c>
      <c r="T10" s="26" t="s">
        <v>111</v>
      </c>
      <c r="U10" s="26" t="s">
        <v>112</v>
      </c>
      <c r="V10">
        <f t="shared" si="2"/>
        <v>29</v>
      </c>
      <c r="W10">
        <f t="shared" si="0"/>
        <v>7</v>
      </c>
      <c r="X10">
        <f t="shared" si="1"/>
        <v>2026</v>
      </c>
      <c r="Y10" t="str">
        <f t="shared" si="3"/>
        <v>29-2026</v>
      </c>
      <c r="Z10" t="s">
        <v>55</v>
      </c>
      <c r="AB10">
        <v>4.8082106455401501</v>
      </c>
      <c r="AC10">
        <v>-75.688230399999597</v>
      </c>
    </row>
    <row r="11" spans="1:29" ht="32.1" customHeight="1">
      <c r="A11" s="29">
        <v>3649609</v>
      </c>
      <c r="B11" s="26" t="s">
        <v>113</v>
      </c>
      <c r="C11" s="26" t="s">
        <v>114</v>
      </c>
      <c r="D11" s="26" t="s">
        <v>29</v>
      </c>
      <c r="E11" s="26" t="s">
        <v>29</v>
      </c>
      <c r="F11" s="26" t="s">
        <v>115</v>
      </c>
      <c r="G11" s="26">
        <v>2026</v>
      </c>
      <c r="H11" s="26" t="s">
        <v>31</v>
      </c>
      <c r="I11" s="26" t="s">
        <v>32</v>
      </c>
      <c r="J11" s="26" t="s">
        <v>116</v>
      </c>
      <c r="K11" s="26"/>
      <c r="L11" s="26" t="s">
        <v>34</v>
      </c>
      <c r="M11" s="26" t="s">
        <v>117</v>
      </c>
      <c r="N11" s="26" t="s">
        <v>118</v>
      </c>
      <c r="O11" s="30" t="s">
        <v>119</v>
      </c>
      <c r="P11" s="26" t="s">
        <v>69</v>
      </c>
      <c r="Q11" s="26" t="s">
        <v>39</v>
      </c>
      <c r="R11" s="26" t="s">
        <v>120</v>
      </c>
      <c r="S11" s="26">
        <v>3104257782</v>
      </c>
      <c r="T11" s="26" t="s">
        <v>121</v>
      </c>
      <c r="U11" s="26" t="s">
        <v>122</v>
      </c>
      <c r="V11">
        <f t="shared" si="2"/>
        <v>29</v>
      </c>
      <c r="W11">
        <f t="shared" si="0"/>
        <v>7</v>
      </c>
      <c r="X11">
        <f t="shared" si="1"/>
        <v>2026</v>
      </c>
      <c r="Y11" t="str">
        <f t="shared" si="3"/>
        <v>29-2026</v>
      </c>
      <c r="Z11" t="s">
        <v>55</v>
      </c>
      <c r="AB11">
        <v>5.0009072881179204</v>
      </c>
      <c r="AC11">
        <v>-73.999167262091305</v>
      </c>
    </row>
    <row r="12" spans="1:29" ht="32.1" customHeight="1">
      <c r="A12" s="29">
        <v>3652749</v>
      </c>
      <c r="B12" s="26" t="s">
        <v>123</v>
      </c>
      <c r="C12" s="26" t="s">
        <v>124</v>
      </c>
      <c r="D12" s="26" t="s">
        <v>125</v>
      </c>
      <c r="E12" s="26" t="s">
        <v>125</v>
      </c>
      <c r="F12" s="26" t="s">
        <v>126</v>
      </c>
      <c r="G12" s="26">
        <v>2026</v>
      </c>
      <c r="H12" s="26" t="s">
        <v>31</v>
      </c>
      <c r="I12" s="26" t="s">
        <v>32</v>
      </c>
      <c r="J12" s="26" t="s">
        <v>127</v>
      </c>
      <c r="K12" s="26" t="s">
        <v>128</v>
      </c>
      <c r="L12" s="26" t="s">
        <v>34</v>
      </c>
      <c r="M12" s="26" t="s">
        <v>35</v>
      </c>
      <c r="N12" s="26" t="s">
        <v>129</v>
      </c>
      <c r="O12" s="30" t="s">
        <v>130</v>
      </c>
      <c r="P12" s="26" t="s">
        <v>69</v>
      </c>
      <c r="Q12" s="26" t="s">
        <v>39</v>
      </c>
      <c r="R12" s="26" t="s">
        <v>40</v>
      </c>
      <c r="S12" s="26">
        <v>3112914286</v>
      </c>
      <c r="T12" s="26" t="s">
        <v>131</v>
      </c>
      <c r="U12" s="26" t="s">
        <v>132</v>
      </c>
      <c r="V12">
        <f t="shared" si="2"/>
        <v>29</v>
      </c>
      <c r="W12">
        <f t="shared" si="0"/>
        <v>7</v>
      </c>
      <c r="X12">
        <f t="shared" si="1"/>
        <v>2026</v>
      </c>
      <c r="Y12" t="str">
        <f t="shared" si="3"/>
        <v>29-2026</v>
      </c>
      <c r="Z12" t="s">
        <v>55</v>
      </c>
      <c r="AB12">
        <v>4.63943295015559</v>
      </c>
      <c r="AC12">
        <v>-74.065112728285797</v>
      </c>
    </row>
    <row r="13" spans="1:29" ht="32.1" customHeight="1">
      <c r="A13" s="29">
        <v>3652752</v>
      </c>
      <c r="B13" s="26" t="s">
        <v>123</v>
      </c>
      <c r="C13" s="26" t="s">
        <v>124</v>
      </c>
      <c r="D13" s="26" t="s">
        <v>125</v>
      </c>
      <c r="E13" s="26" t="s">
        <v>125</v>
      </c>
      <c r="F13" s="26" t="s">
        <v>133</v>
      </c>
      <c r="G13" s="26">
        <v>2026</v>
      </c>
      <c r="H13" s="26" t="s">
        <v>31</v>
      </c>
      <c r="I13" s="26" t="s">
        <v>32</v>
      </c>
      <c r="J13" s="26" t="s">
        <v>134</v>
      </c>
      <c r="K13" s="26" t="s">
        <v>135</v>
      </c>
      <c r="L13" s="26" t="s">
        <v>34</v>
      </c>
      <c r="M13" s="26" t="s">
        <v>35</v>
      </c>
      <c r="N13" s="26" t="s">
        <v>136</v>
      </c>
      <c r="O13" s="30" t="s">
        <v>137</v>
      </c>
      <c r="P13" s="26" t="s">
        <v>69</v>
      </c>
      <c r="Q13" s="26" t="s">
        <v>100</v>
      </c>
      <c r="R13" s="26" t="s">
        <v>40</v>
      </c>
      <c r="S13" s="26">
        <v>3112034494</v>
      </c>
      <c r="T13" s="26" t="s">
        <v>131</v>
      </c>
      <c r="U13" s="26" t="s">
        <v>138</v>
      </c>
      <c r="V13">
        <f t="shared" si="2"/>
        <v>29</v>
      </c>
      <c r="W13">
        <f t="shared" si="0"/>
        <v>7</v>
      </c>
      <c r="X13">
        <f t="shared" si="1"/>
        <v>2026</v>
      </c>
      <c r="Y13" t="str">
        <f t="shared" si="3"/>
        <v>29-2026</v>
      </c>
      <c r="Z13" t="s">
        <v>55</v>
      </c>
      <c r="AB13">
        <v>4.7013211899417797</v>
      </c>
      <c r="AC13">
        <v>-74.047880000000305</v>
      </c>
    </row>
    <row r="14" spans="1:29" ht="32.1" customHeight="1">
      <c r="A14" s="29">
        <v>3652756</v>
      </c>
      <c r="B14" s="26" t="s">
        <v>123</v>
      </c>
      <c r="C14" s="26" t="s">
        <v>124</v>
      </c>
      <c r="D14" s="26" t="s">
        <v>125</v>
      </c>
      <c r="E14" s="26" t="s">
        <v>125</v>
      </c>
      <c r="F14" s="26" t="s">
        <v>139</v>
      </c>
      <c r="G14" s="26">
        <v>2026</v>
      </c>
      <c r="H14" s="26" t="s">
        <v>31</v>
      </c>
      <c r="I14" s="26" t="s">
        <v>32</v>
      </c>
      <c r="J14" s="26" t="s">
        <v>140</v>
      </c>
      <c r="K14" s="26" t="s">
        <v>141</v>
      </c>
      <c r="L14" s="26" t="s">
        <v>34</v>
      </c>
      <c r="M14" s="26" t="s">
        <v>35</v>
      </c>
      <c r="N14" s="26" t="s">
        <v>142</v>
      </c>
      <c r="O14" s="30" t="s">
        <v>143</v>
      </c>
      <c r="P14" s="26" t="s">
        <v>69</v>
      </c>
      <c r="Q14" s="26" t="s">
        <v>100</v>
      </c>
      <c r="R14" s="26" t="s">
        <v>40</v>
      </c>
      <c r="S14" s="26">
        <v>3114910947</v>
      </c>
      <c r="T14" s="26" t="s">
        <v>144</v>
      </c>
      <c r="U14" s="26" t="s">
        <v>145</v>
      </c>
      <c r="V14">
        <f t="shared" si="2"/>
        <v>29</v>
      </c>
      <c r="W14">
        <f t="shared" si="0"/>
        <v>7</v>
      </c>
      <c r="X14">
        <f t="shared" si="1"/>
        <v>2026</v>
      </c>
      <c r="Y14" t="str">
        <f t="shared" si="3"/>
        <v>29-2026</v>
      </c>
      <c r="Z14" t="s">
        <v>55</v>
      </c>
      <c r="AB14">
        <v>4.6983514463927198</v>
      </c>
      <c r="AC14">
        <v>-74.043404099997403</v>
      </c>
    </row>
    <row r="15" spans="1:29" ht="32.1" customHeight="1">
      <c r="A15" s="29">
        <v>3652790</v>
      </c>
      <c r="B15" s="26" t="s">
        <v>146</v>
      </c>
      <c r="C15" s="26" t="s">
        <v>147</v>
      </c>
      <c r="D15" s="26" t="s">
        <v>125</v>
      </c>
      <c r="E15" s="26" t="s">
        <v>125</v>
      </c>
      <c r="F15" s="26" t="s">
        <v>148</v>
      </c>
      <c r="G15" s="26">
        <v>2026</v>
      </c>
      <c r="H15" s="26" t="s">
        <v>31</v>
      </c>
      <c r="I15" s="26" t="s">
        <v>32</v>
      </c>
      <c r="J15" s="26" t="s">
        <v>149</v>
      </c>
      <c r="K15" s="26"/>
      <c r="L15" s="26" t="s">
        <v>34</v>
      </c>
      <c r="M15" s="26" t="s">
        <v>35</v>
      </c>
      <c r="N15" s="26" t="s">
        <v>150</v>
      </c>
      <c r="O15" s="30" t="s">
        <v>151</v>
      </c>
      <c r="P15" s="26" t="s">
        <v>152</v>
      </c>
      <c r="Q15" s="26" t="s">
        <v>39</v>
      </c>
      <c r="R15" s="26" t="s">
        <v>70</v>
      </c>
      <c r="S15" s="26">
        <v>3102521005</v>
      </c>
      <c r="T15" s="26" t="s">
        <v>153</v>
      </c>
      <c r="U15" s="26" t="s">
        <v>154</v>
      </c>
      <c r="V15">
        <f t="shared" si="2"/>
        <v>29</v>
      </c>
      <c r="W15">
        <f t="shared" si="0"/>
        <v>7</v>
      </c>
      <c r="X15">
        <f t="shared" si="1"/>
        <v>2026</v>
      </c>
      <c r="Y15" t="str">
        <f t="shared" si="3"/>
        <v>29-2026</v>
      </c>
      <c r="Z15" t="s">
        <v>55</v>
      </c>
      <c r="AB15">
        <v>4.5608458575304303</v>
      </c>
      <c r="AC15">
        <v>-74.126013736619299</v>
      </c>
    </row>
    <row r="16" spans="1:29" ht="32.1" customHeight="1">
      <c r="A16" s="29">
        <v>3652807</v>
      </c>
      <c r="B16" s="26" t="s">
        <v>123</v>
      </c>
      <c r="C16" s="26" t="s">
        <v>124</v>
      </c>
      <c r="D16" s="26" t="s">
        <v>125</v>
      </c>
      <c r="E16" s="26" t="s">
        <v>125</v>
      </c>
      <c r="F16" s="26" t="s">
        <v>155</v>
      </c>
      <c r="G16" s="26">
        <v>2026</v>
      </c>
      <c r="H16" s="26" t="s">
        <v>31</v>
      </c>
      <c r="I16" s="26" t="s">
        <v>32</v>
      </c>
      <c r="J16" s="26" t="s">
        <v>156</v>
      </c>
      <c r="K16" s="26"/>
      <c r="L16" s="26" t="s">
        <v>34</v>
      </c>
      <c r="M16" s="26" t="s">
        <v>35</v>
      </c>
      <c r="N16" s="26" t="s">
        <v>157</v>
      </c>
      <c r="O16" s="30" t="s">
        <v>158</v>
      </c>
      <c r="P16" s="26" t="s">
        <v>69</v>
      </c>
      <c r="Q16" s="26" t="s">
        <v>100</v>
      </c>
      <c r="R16" s="26" t="s">
        <v>40</v>
      </c>
      <c r="S16" s="26" t="s">
        <v>159</v>
      </c>
      <c r="T16" s="26" t="s">
        <v>131</v>
      </c>
      <c r="U16" s="26" t="s">
        <v>160</v>
      </c>
      <c r="V16">
        <f t="shared" si="2"/>
        <v>29</v>
      </c>
      <c r="W16">
        <f t="shared" si="0"/>
        <v>7</v>
      </c>
      <c r="X16">
        <f t="shared" si="1"/>
        <v>2026</v>
      </c>
      <c r="Y16" t="str">
        <f t="shared" si="3"/>
        <v>29-2026</v>
      </c>
      <c r="Z16" t="s">
        <v>55</v>
      </c>
      <c r="AB16">
        <v>4.6970167212173299</v>
      </c>
      <c r="AC16">
        <v>-74.044096808662403</v>
      </c>
    </row>
    <row r="17" spans="1:29" ht="32.1" customHeight="1">
      <c r="A17" s="29">
        <v>3652812</v>
      </c>
      <c r="B17" s="26" t="s">
        <v>123</v>
      </c>
      <c r="C17" s="26" t="s">
        <v>124</v>
      </c>
      <c r="D17" s="26" t="s">
        <v>125</v>
      </c>
      <c r="E17" s="26" t="s">
        <v>125</v>
      </c>
      <c r="F17" s="26" t="s">
        <v>161</v>
      </c>
      <c r="G17" s="26">
        <v>2026</v>
      </c>
      <c r="H17" s="26" t="s">
        <v>31</v>
      </c>
      <c r="I17" s="26" t="s">
        <v>32</v>
      </c>
      <c r="J17" s="26" t="s">
        <v>162</v>
      </c>
      <c r="K17" s="26"/>
      <c r="L17" s="26" t="s">
        <v>34</v>
      </c>
      <c r="M17" s="26" t="s">
        <v>35</v>
      </c>
      <c r="N17" s="26" t="s">
        <v>163</v>
      </c>
      <c r="O17" s="30" t="s">
        <v>164</v>
      </c>
      <c r="P17" s="26" t="s">
        <v>69</v>
      </c>
      <c r="Q17" s="26" t="s">
        <v>100</v>
      </c>
      <c r="R17" s="26" t="s">
        <v>40</v>
      </c>
      <c r="S17" s="26">
        <v>3105722683</v>
      </c>
      <c r="T17" s="26" t="s">
        <v>165</v>
      </c>
      <c r="U17" s="26" t="s">
        <v>166</v>
      </c>
      <c r="V17">
        <f t="shared" si="2"/>
        <v>29</v>
      </c>
      <c r="W17">
        <f t="shared" si="0"/>
        <v>7</v>
      </c>
      <c r="X17">
        <f t="shared" si="1"/>
        <v>2026</v>
      </c>
      <c r="Y17" t="str">
        <f t="shared" si="3"/>
        <v>29-2026</v>
      </c>
      <c r="Z17" t="s">
        <v>55</v>
      </c>
      <c r="AB17">
        <v>4.6976472368839497</v>
      </c>
      <c r="AC17">
        <v>-74.045903241507105</v>
      </c>
    </row>
    <row r="18" spans="1:29" ht="32.1" customHeight="1">
      <c r="A18" s="29">
        <v>3652852</v>
      </c>
      <c r="B18" s="26" t="s">
        <v>167</v>
      </c>
      <c r="C18" s="26" t="s">
        <v>168</v>
      </c>
      <c r="D18" s="26" t="s">
        <v>125</v>
      </c>
      <c r="E18" s="26" t="s">
        <v>125</v>
      </c>
      <c r="F18" s="26" t="s">
        <v>169</v>
      </c>
      <c r="G18" s="26">
        <v>2026</v>
      </c>
      <c r="H18" s="26" t="s">
        <v>31</v>
      </c>
      <c r="I18" s="26" t="s">
        <v>32</v>
      </c>
      <c r="J18" s="26" t="s">
        <v>170</v>
      </c>
      <c r="K18" s="26"/>
      <c r="L18" s="26" t="s">
        <v>34</v>
      </c>
      <c r="M18" s="26" t="s">
        <v>171</v>
      </c>
      <c r="N18" s="26" t="s">
        <v>172</v>
      </c>
      <c r="O18" s="30" t="s">
        <v>173</v>
      </c>
      <c r="P18" s="26" t="s">
        <v>69</v>
      </c>
      <c r="Q18" s="26" t="s">
        <v>39</v>
      </c>
      <c r="R18" s="26" t="s">
        <v>40</v>
      </c>
      <c r="S18" s="26" t="s">
        <v>174</v>
      </c>
      <c r="T18" s="26">
        <v>3002661196</v>
      </c>
      <c r="U18" s="26" t="s">
        <v>175</v>
      </c>
      <c r="V18">
        <f t="shared" si="2"/>
        <v>29</v>
      </c>
      <c r="W18">
        <f t="shared" si="0"/>
        <v>7</v>
      </c>
      <c r="X18">
        <f t="shared" si="1"/>
        <v>2026</v>
      </c>
      <c r="Y18" t="str">
        <f t="shared" si="3"/>
        <v>29-2026</v>
      </c>
      <c r="Z18" t="s">
        <v>55</v>
      </c>
      <c r="AB18">
        <v>4.3265115472693196</v>
      </c>
      <c r="AC18">
        <v>-74.396469270556196</v>
      </c>
    </row>
    <row r="19" spans="1:29" ht="32.1" customHeight="1">
      <c r="A19" s="29">
        <v>3652942</v>
      </c>
      <c r="B19" s="26" t="s">
        <v>176</v>
      </c>
      <c r="C19" s="26" t="s">
        <v>177</v>
      </c>
      <c r="D19" s="26" t="s">
        <v>125</v>
      </c>
      <c r="E19" s="26" t="s">
        <v>125</v>
      </c>
      <c r="F19" s="26" t="s">
        <v>178</v>
      </c>
      <c r="G19" s="26">
        <v>2026</v>
      </c>
      <c r="H19" s="26" t="s">
        <v>31</v>
      </c>
      <c r="I19" s="26" t="s">
        <v>32</v>
      </c>
      <c r="J19" s="26" t="s">
        <v>179</v>
      </c>
      <c r="K19" s="26"/>
      <c r="L19" s="26" t="s">
        <v>34</v>
      </c>
      <c r="M19" s="26" t="s">
        <v>35</v>
      </c>
      <c r="N19" s="26" t="s">
        <v>180</v>
      </c>
      <c r="O19" s="30" t="s">
        <v>181</v>
      </c>
      <c r="P19" s="26" t="s">
        <v>38</v>
      </c>
      <c r="Q19" s="26" t="s">
        <v>100</v>
      </c>
      <c r="R19" s="26" t="s">
        <v>40</v>
      </c>
      <c r="S19" s="26">
        <v>3112914286</v>
      </c>
      <c r="T19" s="26" t="s">
        <v>182</v>
      </c>
      <c r="U19" s="26" t="s">
        <v>183</v>
      </c>
      <c r="V19">
        <f t="shared" si="2"/>
        <v>29</v>
      </c>
      <c r="W19">
        <f t="shared" si="0"/>
        <v>7</v>
      </c>
      <c r="X19">
        <f t="shared" si="1"/>
        <v>2026</v>
      </c>
      <c r="Y19" t="str">
        <f t="shared" si="3"/>
        <v>29-2026</v>
      </c>
      <c r="Z19" t="s">
        <v>184</v>
      </c>
      <c r="AA19" t="s">
        <v>185</v>
      </c>
    </row>
    <row r="20" spans="1:29" ht="32.1" customHeight="1">
      <c r="A20" s="29">
        <v>3652948</v>
      </c>
      <c r="B20" s="26" t="s">
        <v>186</v>
      </c>
      <c r="C20" s="26" t="s">
        <v>187</v>
      </c>
      <c r="D20" s="26" t="s">
        <v>125</v>
      </c>
      <c r="E20" s="26" t="s">
        <v>125</v>
      </c>
      <c r="F20" s="26" t="s">
        <v>188</v>
      </c>
      <c r="G20" s="26">
        <v>2026</v>
      </c>
      <c r="H20" s="26" t="s">
        <v>31</v>
      </c>
      <c r="I20" s="26" t="s">
        <v>32</v>
      </c>
      <c r="J20" s="26" t="s">
        <v>189</v>
      </c>
      <c r="K20" s="26"/>
      <c r="L20" s="26" t="s">
        <v>34</v>
      </c>
      <c r="M20" s="26" t="s">
        <v>171</v>
      </c>
      <c r="N20" s="26" t="s">
        <v>190</v>
      </c>
      <c r="O20" s="30" t="s">
        <v>191</v>
      </c>
      <c r="P20" s="26" t="s">
        <v>69</v>
      </c>
      <c r="Q20" s="26" t="s">
        <v>100</v>
      </c>
      <c r="R20" s="26" t="s">
        <v>40</v>
      </c>
      <c r="S20" s="26">
        <v>3105652759</v>
      </c>
      <c r="T20" s="26" t="s">
        <v>192</v>
      </c>
      <c r="U20" s="26" t="s">
        <v>193</v>
      </c>
      <c r="V20">
        <f t="shared" si="2"/>
        <v>29</v>
      </c>
      <c r="W20">
        <f t="shared" si="0"/>
        <v>7</v>
      </c>
      <c r="X20">
        <f t="shared" si="1"/>
        <v>2026</v>
      </c>
      <c r="Y20" t="str">
        <f t="shared" si="3"/>
        <v>29-2026</v>
      </c>
      <c r="Z20" t="s">
        <v>55</v>
      </c>
      <c r="AB20">
        <v>4.8180466816630698</v>
      </c>
      <c r="AC20">
        <v>-74.358422879050096</v>
      </c>
    </row>
    <row r="21" spans="1:29" ht="32.1" customHeight="1">
      <c r="A21" s="29">
        <v>3652991</v>
      </c>
      <c r="B21" s="26" t="s">
        <v>186</v>
      </c>
      <c r="C21" s="26" t="s">
        <v>187</v>
      </c>
      <c r="D21" s="26" t="s">
        <v>125</v>
      </c>
      <c r="E21" s="26" t="s">
        <v>125</v>
      </c>
      <c r="F21" s="26" t="s">
        <v>194</v>
      </c>
      <c r="G21" s="26">
        <v>2026</v>
      </c>
      <c r="H21" s="26" t="s">
        <v>31</v>
      </c>
      <c r="I21" s="26" t="s">
        <v>32</v>
      </c>
      <c r="J21" s="26" t="s">
        <v>195</v>
      </c>
      <c r="K21" s="26" t="s">
        <v>196</v>
      </c>
      <c r="L21" s="26" t="s">
        <v>34</v>
      </c>
      <c r="M21" s="26" t="s">
        <v>171</v>
      </c>
      <c r="N21" s="26" t="s">
        <v>197</v>
      </c>
      <c r="O21" s="30" t="s">
        <v>198</v>
      </c>
      <c r="P21" s="26" t="s">
        <v>38</v>
      </c>
      <c r="Q21" s="26" t="s">
        <v>39</v>
      </c>
      <c r="R21" s="26" t="s">
        <v>101</v>
      </c>
      <c r="S21" s="26">
        <v>3115576168</v>
      </c>
      <c r="T21" s="26" t="s">
        <v>192</v>
      </c>
      <c r="U21" s="26" t="s">
        <v>199</v>
      </c>
      <c r="V21">
        <f t="shared" si="2"/>
        <v>29</v>
      </c>
      <c r="W21">
        <f t="shared" si="0"/>
        <v>7</v>
      </c>
      <c r="X21">
        <f t="shared" si="1"/>
        <v>2026</v>
      </c>
      <c r="Y21" t="str">
        <f t="shared" si="3"/>
        <v>29-2026</v>
      </c>
      <c r="Z21" t="s">
        <v>55</v>
      </c>
      <c r="AB21">
        <v>4.8077699537529099</v>
      </c>
      <c r="AC21">
        <v>-74.3498237283534</v>
      </c>
    </row>
    <row r="22" spans="1:29" ht="32.1" customHeight="1">
      <c r="A22" s="29">
        <v>3653000</v>
      </c>
      <c r="B22" s="26" t="s">
        <v>200</v>
      </c>
      <c r="C22" s="26" t="s">
        <v>201</v>
      </c>
      <c r="D22" s="26" t="s">
        <v>125</v>
      </c>
      <c r="E22" s="26" t="s">
        <v>125</v>
      </c>
      <c r="F22" s="26" t="s">
        <v>202</v>
      </c>
      <c r="G22" s="26">
        <v>2026</v>
      </c>
      <c r="H22" s="26" t="s">
        <v>31</v>
      </c>
      <c r="I22" s="26" t="s">
        <v>32</v>
      </c>
      <c r="J22" s="26" t="s">
        <v>203</v>
      </c>
      <c r="K22" s="26" t="s">
        <v>204</v>
      </c>
      <c r="L22" s="26" t="s">
        <v>34</v>
      </c>
      <c r="M22" s="26" t="s">
        <v>35</v>
      </c>
      <c r="N22" s="26" t="s">
        <v>205</v>
      </c>
      <c r="O22" s="30" t="s">
        <v>206</v>
      </c>
      <c r="P22" s="26" t="s">
        <v>69</v>
      </c>
      <c r="Q22" s="26" t="s">
        <v>39</v>
      </c>
      <c r="R22" s="26" t="s">
        <v>40</v>
      </c>
      <c r="S22" s="26" t="s">
        <v>207</v>
      </c>
      <c r="T22" s="26" t="s">
        <v>208</v>
      </c>
      <c r="U22" s="26" t="s">
        <v>209</v>
      </c>
      <c r="V22">
        <f t="shared" si="2"/>
        <v>29</v>
      </c>
      <c r="W22">
        <f t="shared" si="0"/>
        <v>7</v>
      </c>
      <c r="X22">
        <f t="shared" si="1"/>
        <v>2026</v>
      </c>
      <c r="Y22" t="str">
        <f t="shared" si="3"/>
        <v>29-2026</v>
      </c>
      <c r="Z22" t="s">
        <v>55</v>
      </c>
      <c r="AB22">
        <v>4.6289799591781398</v>
      </c>
      <c r="AC22">
        <v>-74.114922000028599</v>
      </c>
    </row>
    <row r="23" spans="1:29" ht="32.1" customHeight="1">
      <c r="A23" s="26">
        <v>3653008</v>
      </c>
      <c r="B23" s="26" t="s">
        <v>186</v>
      </c>
      <c r="C23" s="26" t="s">
        <v>187</v>
      </c>
      <c r="D23" s="26" t="s">
        <v>125</v>
      </c>
      <c r="E23" s="26" t="s">
        <v>125</v>
      </c>
      <c r="F23" s="26" t="s">
        <v>210</v>
      </c>
      <c r="G23" s="26">
        <v>2026</v>
      </c>
      <c r="H23" s="26" t="s">
        <v>31</v>
      </c>
      <c r="I23" s="26" t="s">
        <v>32</v>
      </c>
      <c r="J23" s="26" t="s">
        <v>211</v>
      </c>
      <c r="K23" s="26"/>
      <c r="L23" s="26" t="s">
        <v>34</v>
      </c>
      <c r="M23" s="26" t="s">
        <v>171</v>
      </c>
      <c r="N23" s="26" t="s">
        <v>212</v>
      </c>
      <c r="O23" s="30" t="s">
        <v>213</v>
      </c>
      <c r="P23" s="26" t="s">
        <v>38</v>
      </c>
      <c r="Q23" s="26" t="s">
        <v>100</v>
      </c>
      <c r="R23" s="26" t="s">
        <v>70</v>
      </c>
      <c r="S23" s="26" t="s">
        <v>214</v>
      </c>
      <c r="T23" s="26" t="s">
        <v>192</v>
      </c>
      <c r="U23" s="26" t="s">
        <v>215</v>
      </c>
      <c r="V23">
        <f t="shared" si="2"/>
        <v>29</v>
      </c>
      <c r="W23">
        <f t="shared" si="0"/>
        <v>7</v>
      </c>
      <c r="X23">
        <f t="shared" si="1"/>
        <v>2026</v>
      </c>
      <c r="Y23" t="str">
        <f t="shared" si="3"/>
        <v>29-2026</v>
      </c>
      <c r="Z23" t="s">
        <v>55</v>
      </c>
      <c r="AB23">
        <v>4.8101169010620399</v>
      </c>
      <c r="AC23">
        <v>-74.350224000008893</v>
      </c>
    </row>
    <row r="24" spans="1:29" ht="32.1" customHeight="1">
      <c r="A24" s="26">
        <v>3653140</v>
      </c>
      <c r="B24" s="26" t="s">
        <v>176</v>
      </c>
      <c r="C24" s="26" t="s">
        <v>177</v>
      </c>
      <c r="D24" s="26" t="s">
        <v>125</v>
      </c>
      <c r="E24" s="26" t="s">
        <v>125</v>
      </c>
      <c r="F24" s="26" t="s">
        <v>216</v>
      </c>
      <c r="G24" s="26">
        <v>2026</v>
      </c>
      <c r="H24" s="26" t="s">
        <v>31</v>
      </c>
      <c r="I24" s="26" t="s">
        <v>32</v>
      </c>
      <c r="J24" s="26" t="s">
        <v>217</v>
      </c>
      <c r="K24" s="26"/>
      <c r="L24" s="26" t="s">
        <v>34</v>
      </c>
      <c r="M24" s="26" t="s">
        <v>35</v>
      </c>
      <c r="N24" s="26" t="s">
        <v>218</v>
      </c>
      <c r="O24" s="30" t="s">
        <v>219</v>
      </c>
      <c r="P24" s="26" t="s">
        <v>38</v>
      </c>
      <c r="Q24" s="26" t="s">
        <v>39</v>
      </c>
      <c r="R24" s="26" t="s">
        <v>70</v>
      </c>
      <c r="S24" s="26">
        <v>3142406629</v>
      </c>
      <c r="T24" s="26" t="s">
        <v>192</v>
      </c>
      <c r="U24" s="26" t="s">
        <v>220</v>
      </c>
      <c r="V24">
        <f t="shared" si="2"/>
        <v>29</v>
      </c>
      <c r="W24">
        <f t="shared" si="0"/>
        <v>7</v>
      </c>
      <c r="X24">
        <f t="shared" si="1"/>
        <v>2026</v>
      </c>
      <c r="Y24" t="str">
        <f t="shared" si="3"/>
        <v>29-2026</v>
      </c>
      <c r="Z24" t="s">
        <v>55</v>
      </c>
      <c r="AB24">
        <v>4.6710371533935504</v>
      </c>
      <c r="AC24">
        <v>-74.106393869313095</v>
      </c>
    </row>
    <row r="25" spans="1:29" ht="32.1" customHeight="1">
      <c r="A25" s="26">
        <v>3653143</v>
      </c>
      <c r="B25" s="26" t="s">
        <v>221</v>
      </c>
      <c r="C25" s="26" t="s">
        <v>222</v>
      </c>
      <c r="D25" s="26" t="s">
        <v>125</v>
      </c>
      <c r="E25" s="26" t="s">
        <v>125</v>
      </c>
      <c r="F25" s="26" t="s">
        <v>223</v>
      </c>
      <c r="G25" s="26">
        <v>2026</v>
      </c>
      <c r="H25" s="26" t="s">
        <v>31</v>
      </c>
      <c r="I25" s="26" t="s">
        <v>32</v>
      </c>
      <c r="J25" s="26" t="s">
        <v>224</v>
      </c>
      <c r="K25" s="26"/>
      <c r="L25" s="26" t="s">
        <v>34</v>
      </c>
      <c r="M25" s="26" t="s">
        <v>35</v>
      </c>
      <c r="N25" s="26" t="s">
        <v>225</v>
      </c>
      <c r="O25" s="30" t="s">
        <v>226</v>
      </c>
      <c r="P25" s="26" t="s">
        <v>38</v>
      </c>
      <c r="Q25" s="26" t="s">
        <v>100</v>
      </c>
      <c r="R25" s="26" t="s">
        <v>40</v>
      </c>
      <c r="S25" s="26">
        <v>3114910947</v>
      </c>
      <c r="T25" s="26" t="s">
        <v>44</v>
      </c>
      <c r="U25" s="26" t="s">
        <v>227</v>
      </c>
      <c r="V25">
        <f t="shared" si="2"/>
        <v>29</v>
      </c>
      <c r="W25">
        <f t="shared" si="0"/>
        <v>7</v>
      </c>
      <c r="X25">
        <f t="shared" si="1"/>
        <v>2026</v>
      </c>
      <c r="Y25" t="str">
        <f t="shared" si="3"/>
        <v>29-2026</v>
      </c>
      <c r="Z25" t="s">
        <v>55</v>
      </c>
      <c r="AB25">
        <v>4.6983253464068202</v>
      </c>
      <c r="AC25">
        <v>-74.0433192000106</v>
      </c>
    </row>
    <row r="26" spans="1:29" ht="32.1" customHeight="1">
      <c r="A26" s="26">
        <v>3653092</v>
      </c>
      <c r="B26" s="26" t="s">
        <v>228</v>
      </c>
      <c r="C26" s="26" t="s">
        <v>229</v>
      </c>
      <c r="D26" s="26" t="s">
        <v>125</v>
      </c>
      <c r="E26" s="26" t="s">
        <v>125</v>
      </c>
      <c r="F26" s="26" t="s">
        <v>230</v>
      </c>
      <c r="G26" s="26">
        <v>2026</v>
      </c>
      <c r="H26" s="26" t="s">
        <v>31</v>
      </c>
      <c r="I26" s="26" t="s">
        <v>32</v>
      </c>
      <c r="J26" s="26" t="s">
        <v>231</v>
      </c>
      <c r="K26" s="26"/>
      <c r="L26" s="26" t="s">
        <v>34</v>
      </c>
      <c r="M26" s="26" t="s">
        <v>171</v>
      </c>
      <c r="N26" s="26" t="s">
        <v>232</v>
      </c>
      <c r="O26" s="30" t="s">
        <v>233</v>
      </c>
      <c r="P26" s="26" t="s">
        <v>152</v>
      </c>
      <c r="Q26" s="26" t="s">
        <v>100</v>
      </c>
      <c r="R26" s="26" t="s">
        <v>70</v>
      </c>
      <c r="S26" s="26">
        <v>3506549064</v>
      </c>
      <c r="T26" s="26">
        <v>3506549064</v>
      </c>
      <c r="U26" s="26" t="s">
        <v>234</v>
      </c>
      <c r="V26">
        <f t="shared" si="2"/>
        <v>29</v>
      </c>
      <c r="W26">
        <f t="shared" si="0"/>
        <v>7</v>
      </c>
      <c r="X26">
        <f t="shared" si="1"/>
        <v>2026</v>
      </c>
      <c r="Y26" t="str">
        <f t="shared" si="3"/>
        <v>29-2026</v>
      </c>
      <c r="Z26" t="s">
        <v>55</v>
      </c>
      <c r="AB26">
        <v>4.6214150772067697</v>
      </c>
      <c r="AC26">
        <v>-74.068016700000101</v>
      </c>
    </row>
    <row r="27" spans="1:29" ht="32.1" customHeight="1">
      <c r="A27" s="26">
        <v>3656243</v>
      </c>
      <c r="B27" s="26" t="s">
        <v>167</v>
      </c>
      <c r="C27" s="26" t="s">
        <v>168</v>
      </c>
      <c r="D27" s="26" t="s">
        <v>235</v>
      </c>
      <c r="E27" s="26" t="s">
        <v>235</v>
      </c>
      <c r="F27" s="26" t="s">
        <v>236</v>
      </c>
      <c r="G27" s="26">
        <v>2026</v>
      </c>
      <c r="H27" s="26" t="s">
        <v>31</v>
      </c>
      <c r="I27" s="26" t="s">
        <v>32</v>
      </c>
      <c r="J27" s="26" t="s">
        <v>237</v>
      </c>
      <c r="K27" s="26"/>
      <c r="L27" s="26" t="s">
        <v>34</v>
      </c>
      <c r="M27" s="26" t="s">
        <v>171</v>
      </c>
      <c r="N27" s="26" t="s">
        <v>238</v>
      </c>
      <c r="O27" s="30" t="s">
        <v>239</v>
      </c>
      <c r="P27" s="26" t="s">
        <v>38</v>
      </c>
      <c r="Q27" s="26" t="s">
        <v>39</v>
      </c>
      <c r="R27" s="26" t="s">
        <v>40</v>
      </c>
      <c r="S27" s="26" t="s">
        <v>240</v>
      </c>
      <c r="T27" s="26" t="s">
        <v>241</v>
      </c>
      <c r="U27" s="26" t="s">
        <v>242</v>
      </c>
      <c r="V27">
        <f t="shared" si="2"/>
        <v>29</v>
      </c>
      <c r="W27">
        <f t="shared" si="0"/>
        <v>7</v>
      </c>
      <c r="X27">
        <f t="shared" si="1"/>
        <v>2026</v>
      </c>
      <c r="Y27" t="str">
        <f t="shared" si="3"/>
        <v>29-2026</v>
      </c>
      <c r="Z27" t="s">
        <v>55</v>
      </c>
      <c r="AB27">
        <v>4.2976649519973202</v>
      </c>
      <c r="AC27">
        <v>-74.804779644180798</v>
      </c>
    </row>
    <row r="28" spans="1:29" ht="32.1" customHeight="1">
      <c r="A28" s="26">
        <v>3656464</v>
      </c>
      <c r="B28" s="26" t="s">
        <v>73</v>
      </c>
      <c r="C28" s="26" t="s">
        <v>74</v>
      </c>
      <c r="D28" s="26" t="s">
        <v>235</v>
      </c>
      <c r="E28" s="26" t="s">
        <v>235</v>
      </c>
      <c r="F28" s="26" t="s">
        <v>243</v>
      </c>
      <c r="G28" s="26">
        <v>2026</v>
      </c>
      <c r="H28" s="26" t="s">
        <v>31</v>
      </c>
      <c r="I28" s="26" t="s">
        <v>32</v>
      </c>
      <c r="J28" s="26" t="s">
        <v>244</v>
      </c>
      <c r="K28" s="26"/>
      <c r="L28" s="26" t="s">
        <v>34</v>
      </c>
      <c r="M28" s="26" t="s">
        <v>35</v>
      </c>
      <c r="N28" s="26" t="s">
        <v>245</v>
      </c>
      <c r="O28" s="30" t="s">
        <v>246</v>
      </c>
      <c r="P28" s="26" t="s">
        <v>38</v>
      </c>
      <c r="Q28" s="26" t="s">
        <v>100</v>
      </c>
      <c r="R28" s="26" t="s">
        <v>40</v>
      </c>
      <c r="S28" s="26">
        <v>3123311755</v>
      </c>
      <c r="T28" s="26">
        <v>3208997195</v>
      </c>
      <c r="U28" s="26" t="s">
        <v>247</v>
      </c>
      <c r="V28">
        <f t="shared" si="2"/>
        <v>29</v>
      </c>
      <c r="W28">
        <f t="shared" si="0"/>
        <v>7</v>
      </c>
      <c r="X28">
        <f t="shared" si="1"/>
        <v>2026</v>
      </c>
      <c r="Y28" t="str">
        <f t="shared" si="3"/>
        <v>29-2026</v>
      </c>
      <c r="Z28" t="s">
        <v>55</v>
      </c>
      <c r="AB28">
        <v>4.7423162697336601</v>
      </c>
      <c r="AC28">
        <v>-74.047421626984203</v>
      </c>
    </row>
    <row r="29" spans="1:29" ht="32.1" customHeight="1">
      <c r="A29" s="26">
        <v>3656477</v>
      </c>
      <c r="B29" s="26" t="s">
        <v>146</v>
      </c>
      <c r="C29" s="26" t="s">
        <v>147</v>
      </c>
      <c r="D29" s="26" t="s">
        <v>235</v>
      </c>
      <c r="E29" s="26" t="s">
        <v>235</v>
      </c>
      <c r="F29" s="26" t="s">
        <v>248</v>
      </c>
      <c r="G29" s="26">
        <v>2026</v>
      </c>
      <c r="H29" s="26" t="s">
        <v>31</v>
      </c>
      <c r="I29" s="26" t="s">
        <v>32</v>
      </c>
      <c r="J29" s="26" t="s">
        <v>249</v>
      </c>
      <c r="K29" s="26"/>
      <c r="L29" s="26" t="s">
        <v>34</v>
      </c>
      <c r="M29" s="26" t="s">
        <v>35</v>
      </c>
      <c r="N29" s="26" t="s">
        <v>250</v>
      </c>
      <c r="O29" s="30" t="s">
        <v>251</v>
      </c>
      <c r="P29" s="26" t="s">
        <v>152</v>
      </c>
      <c r="Q29" s="26" t="s">
        <v>39</v>
      </c>
      <c r="R29" s="26" t="s">
        <v>70</v>
      </c>
      <c r="S29" s="26">
        <v>3205633053</v>
      </c>
      <c r="T29" s="26">
        <v>3205633053</v>
      </c>
      <c r="U29" s="26" t="s">
        <v>252</v>
      </c>
      <c r="V29">
        <f t="shared" si="2"/>
        <v>29</v>
      </c>
      <c r="W29">
        <f t="shared" si="0"/>
        <v>7</v>
      </c>
      <c r="X29">
        <f t="shared" si="1"/>
        <v>2026</v>
      </c>
      <c r="Y29" t="str">
        <f t="shared" si="3"/>
        <v>29-2026</v>
      </c>
      <c r="Z29" t="s">
        <v>55</v>
      </c>
      <c r="AB29">
        <v>4.5235151000670504</v>
      </c>
      <c r="AC29">
        <v>-74.123654575595296</v>
      </c>
    </row>
    <row r="30" spans="1:29" ht="32.1" customHeight="1">
      <c r="A30" s="26">
        <v>3656520</v>
      </c>
      <c r="B30" s="26" t="s">
        <v>105</v>
      </c>
      <c r="C30" s="26" t="s">
        <v>106</v>
      </c>
      <c r="D30" s="26" t="s">
        <v>235</v>
      </c>
      <c r="E30" s="26" t="s">
        <v>235</v>
      </c>
      <c r="F30" s="26" t="s">
        <v>253</v>
      </c>
      <c r="G30" s="26">
        <v>2026</v>
      </c>
      <c r="H30" s="26" t="s">
        <v>31</v>
      </c>
      <c r="I30" s="26" t="s">
        <v>32</v>
      </c>
      <c r="J30" s="26" t="s">
        <v>254</v>
      </c>
      <c r="K30" s="26"/>
      <c r="L30" s="26" t="s">
        <v>65</v>
      </c>
      <c r="M30" s="26" t="s">
        <v>66</v>
      </c>
      <c r="N30" s="26" t="s">
        <v>255</v>
      </c>
      <c r="O30" s="30" t="s">
        <v>256</v>
      </c>
      <c r="P30" s="26" t="s">
        <v>69</v>
      </c>
      <c r="Q30" s="26" t="s">
        <v>100</v>
      </c>
      <c r="R30" s="26" t="s">
        <v>101</v>
      </c>
      <c r="S30" s="26">
        <v>3104223304</v>
      </c>
      <c r="T30" s="26" t="s">
        <v>257</v>
      </c>
      <c r="U30" s="26" t="s">
        <v>258</v>
      </c>
      <c r="V30">
        <f t="shared" si="2"/>
        <v>29</v>
      </c>
      <c r="W30">
        <f t="shared" si="0"/>
        <v>7</v>
      </c>
      <c r="X30">
        <f t="shared" si="1"/>
        <v>2026</v>
      </c>
      <c r="Y30" t="str">
        <f t="shared" si="3"/>
        <v>29-2026</v>
      </c>
      <c r="Z30" t="s">
        <v>55</v>
      </c>
      <c r="AB30">
        <v>4.8035609814776299</v>
      </c>
      <c r="AC30">
        <v>-75.690927171519505</v>
      </c>
    </row>
    <row r="31" spans="1:29" ht="32.1" customHeight="1">
      <c r="A31" s="26">
        <v>3656577</v>
      </c>
      <c r="B31" s="26" t="s">
        <v>87</v>
      </c>
      <c r="C31" s="26" t="s">
        <v>88</v>
      </c>
      <c r="D31" s="26" t="s">
        <v>235</v>
      </c>
      <c r="E31" s="26" t="s">
        <v>235</v>
      </c>
      <c r="F31" s="26" t="s">
        <v>259</v>
      </c>
      <c r="G31" s="26">
        <v>2026</v>
      </c>
      <c r="H31" s="26" t="s">
        <v>31</v>
      </c>
      <c r="I31" s="26" t="s">
        <v>32</v>
      </c>
      <c r="J31" s="26" t="s">
        <v>260</v>
      </c>
      <c r="K31" s="26"/>
      <c r="L31" s="26" t="s">
        <v>65</v>
      </c>
      <c r="M31" s="26" t="s">
        <v>66</v>
      </c>
      <c r="N31" s="26" t="s">
        <v>261</v>
      </c>
      <c r="O31" s="30" t="s">
        <v>262</v>
      </c>
      <c r="P31" s="26" t="s">
        <v>38</v>
      </c>
      <c r="Q31" s="26" t="s">
        <v>39</v>
      </c>
      <c r="R31" s="26" t="s">
        <v>70</v>
      </c>
      <c r="S31" s="26" t="s">
        <v>263</v>
      </c>
      <c r="T31" s="26" t="s">
        <v>264</v>
      </c>
      <c r="U31" s="26" t="s">
        <v>265</v>
      </c>
      <c r="V31">
        <f t="shared" si="2"/>
        <v>29</v>
      </c>
      <c r="W31">
        <f t="shared" si="0"/>
        <v>7</v>
      </c>
      <c r="X31">
        <f t="shared" si="1"/>
        <v>2026</v>
      </c>
      <c r="Y31" t="str">
        <f t="shared" si="3"/>
        <v>29-2026</v>
      </c>
      <c r="Z31" t="s">
        <v>55</v>
      </c>
      <c r="AB31">
        <v>4.8014199279788201</v>
      </c>
      <c r="AC31">
        <v>-75.841607628850099</v>
      </c>
    </row>
    <row r="32" spans="1:29" ht="32.1" customHeight="1">
      <c r="A32" s="26">
        <v>3656588</v>
      </c>
      <c r="B32" s="26" t="s">
        <v>221</v>
      </c>
      <c r="C32" s="26" t="s">
        <v>222</v>
      </c>
      <c r="D32" s="26" t="s">
        <v>235</v>
      </c>
      <c r="E32" s="26" t="s">
        <v>235</v>
      </c>
      <c r="F32" s="26" t="s">
        <v>266</v>
      </c>
      <c r="G32" s="26">
        <v>2026</v>
      </c>
      <c r="H32" s="26" t="s">
        <v>31</v>
      </c>
      <c r="I32" s="26" t="s">
        <v>32</v>
      </c>
      <c r="J32" s="26" t="s">
        <v>267</v>
      </c>
      <c r="K32" s="26"/>
      <c r="L32" s="26" t="s">
        <v>34</v>
      </c>
      <c r="M32" s="26" t="s">
        <v>35</v>
      </c>
      <c r="N32" s="26" t="s">
        <v>268</v>
      </c>
      <c r="O32" s="30" t="s">
        <v>269</v>
      </c>
      <c r="P32" s="26" t="s">
        <v>38</v>
      </c>
      <c r="Q32" s="26" t="s">
        <v>100</v>
      </c>
      <c r="R32" s="26" t="s">
        <v>40</v>
      </c>
      <c r="S32" s="26" t="s">
        <v>270</v>
      </c>
      <c r="T32" s="26" t="s">
        <v>44</v>
      </c>
      <c r="U32" s="26" t="s">
        <v>271</v>
      </c>
      <c r="V32">
        <f t="shared" si="2"/>
        <v>29</v>
      </c>
      <c r="W32">
        <f t="shared" si="0"/>
        <v>7</v>
      </c>
      <c r="X32">
        <f t="shared" si="1"/>
        <v>2026</v>
      </c>
      <c r="Y32" t="str">
        <f t="shared" si="3"/>
        <v>29-2026</v>
      </c>
      <c r="Z32" t="s">
        <v>55</v>
      </c>
      <c r="AB32">
        <v>4.7032329975330303</v>
      </c>
      <c r="AC32">
        <v>-74.054021598190303</v>
      </c>
    </row>
    <row r="33" spans="1:29" ht="32.1" customHeight="1">
      <c r="A33" s="26">
        <v>3656652</v>
      </c>
      <c r="B33" s="26" t="s">
        <v>73</v>
      </c>
      <c r="C33" s="26" t="s">
        <v>74</v>
      </c>
      <c r="D33" s="26" t="s">
        <v>235</v>
      </c>
      <c r="E33" s="26" t="s">
        <v>235</v>
      </c>
      <c r="F33" s="26" t="s">
        <v>272</v>
      </c>
      <c r="G33" s="26">
        <v>2026</v>
      </c>
      <c r="H33" s="26" t="s">
        <v>31</v>
      </c>
      <c r="I33" s="26" t="s">
        <v>32</v>
      </c>
      <c r="J33" s="26" t="s">
        <v>273</v>
      </c>
      <c r="K33" s="26" t="s">
        <v>274</v>
      </c>
      <c r="L33" s="26" t="s">
        <v>34</v>
      </c>
      <c r="M33" s="26" t="s">
        <v>35</v>
      </c>
      <c r="N33" s="26" t="s">
        <v>275</v>
      </c>
      <c r="O33" s="30" t="s">
        <v>276</v>
      </c>
      <c r="P33" s="26" t="s">
        <v>152</v>
      </c>
      <c r="Q33" s="26" t="s">
        <v>39</v>
      </c>
      <c r="R33" s="26" t="s">
        <v>70</v>
      </c>
      <c r="S33" s="26">
        <v>3124883281</v>
      </c>
      <c r="T33" s="26">
        <v>3028167161</v>
      </c>
      <c r="U33" s="26" t="s">
        <v>277</v>
      </c>
      <c r="V33">
        <f t="shared" si="2"/>
        <v>29</v>
      </c>
      <c r="W33">
        <f t="shared" si="0"/>
        <v>7</v>
      </c>
      <c r="X33">
        <f t="shared" si="1"/>
        <v>2026</v>
      </c>
      <c r="Y33" t="str">
        <f t="shared" si="3"/>
        <v>29-2026</v>
      </c>
      <c r="Z33" t="s">
        <v>55</v>
      </c>
      <c r="AB33">
        <v>4.7516917299031904</v>
      </c>
      <c r="AC33">
        <v>-74.086346186513794</v>
      </c>
    </row>
    <row r="34" spans="1:29" ht="32.1" customHeight="1">
      <c r="A34" s="29">
        <v>3668119</v>
      </c>
      <c r="B34" s="26" t="s">
        <v>278</v>
      </c>
      <c r="C34" s="26" t="s">
        <v>279</v>
      </c>
      <c r="D34" s="26" t="s">
        <v>280</v>
      </c>
      <c r="E34" s="26" t="s">
        <v>280</v>
      </c>
      <c r="F34" s="26" t="s">
        <v>281</v>
      </c>
      <c r="G34" s="26">
        <v>2026</v>
      </c>
      <c r="H34" s="26" t="s">
        <v>31</v>
      </c>
      <c r="I34" s="26" t="s">
        <v>32</v>
      </c>
      <c r="J34" s="26" t="s">
        <v>282</v>
      </c>
      <c r="K34" s="26"/>
      <c r="L34" s="26" t="s">
        <v>34</v>
      </c>
      <c r="M34" s="26" t="s">
        <v>117</v>
      </c>
      <c r="N34" s="26" t="s">
        <v>283</v>
      </c>
      <c r="O34" s="30" t="s">
        <v>284</v>
      </c>
      <c r="P34" s="26" t="s">
        <v>152</v>
      </c>
      <c r="Q34" s="26" t="s">
        <v>39</v>
      </c>
      <c r="R34" s="26" t="s">
        <v>70</v>
      </c>
      <c r="S34" s="26" t="s">
        <v>285</v>
      </c>
      <c r="T34" s="26">
        <v>3112581902</v>
      </c>
      <c r="U34" s="30" t="s">
        <v>286</v>
      </c>
      <c r="V34">
        <f t="shared" si="2"/>
        <v>30</v>
      </c>
      <c r="W34">
        <f t="shared" si="0"/>
        <v>7</v>
      </c>
      <c r="X34">
        <f t="shared" si="1"/>
        <v>2026</v>
      </c>
      <c r="Y34" t="str">
        <f t="shared" si="3"/>
        <v>30-2026</v>
      </c>
      <c r="Z34" t="s">
        <v>55</v>
      </c>
      <c r="AB34">
        <v>5.0277943437742101</v>
      </c>
      <c r="AC34">
        <v>-73.998709084657506</v>
      </c>
    </row>
  </sheetData>
  <hyperlinks>
    <hyperlink ref="O6" r:id="rId1" xr:uid="{D42D7EF3-3D46-4E54-8C69-3FBA36D0709C}"/>
    <hyperlink ref="O7" r:id="rId2" xr:uid="{30746116-5705-4D4E-9BDA-784804282991}"/>
    <hyperlink ref="O8" r:id="rId3" xr:uid="{EEFDC895-F2FF-487F-8289-B50C094BEB17}"/>
    <hyperlink ref="O9" r:id="rId4" xr:uid="{4F03A30A-15C4-44D7-99B4-15C9F8AB6D1F}"/>
    <hyperlink ref="T9" r:id="rId5" xr:uid="{B6FBBEE1-F535-4141-A6EC-B010DE42326B}"/>
    <hyperlink ref="O10" r:id="rId6" xr:uid="{461AD067-2B3B-420C-A3D3-0BE4B50A4A56}"/>
    <hyperlink ref="O11" r:id="rId7" xr:uid="{E79601BB-DEBD-4DA8-BB71-18ACFD9B6815}"/>
    <hyperlink ref="O12" r:id="rId8" xr:uid="{7C77FB56-C3FD-4493-86AB-D20A41AA64B6}"/>
    <hyperlink ref="O13" r:id="rId9" xr:uid="{05505495-AED5-4336-9C1D-BADDC5E7BF19}"/>
    <hyperlink ref="O14" r:id="rId10" xr:uid="{FE167FE7-4190-484E-862C-743DEFF9E0FF}"/>
    <hyperlink ref="O15" r:id="rId11" xr:uid="{C1649F27-7A32-4364-9B70-7A805041FD53}"/>
    <hyperlink ref="O16" r:id="rId12" xr:uid="{9BBB34D6-131C-4C1A-8682-33A8E53836E6}"/>
    <hyperlink ref="O17" r:id="rId13" xr:uid="{14A93640-90B1-4A22-80DA-78943F577899}"/>
    <hyperlink ref="O18" r:id="rId14" xr:uid="{EB4CA6F7-4197-4BFA-80D0-C6C5EF313397}"/>
    <hyperlink ref="O19" r:id="rId15" xr:uid="{6E9EBDC5-7E23-4472-B11A-4E617E1F3D3C}"/>
    <hyperlink ref="O20" r:id="rId16" xr:uid="{64FDEBC3-1188-4947-8940-AB21C6137660}"/>
    <hyperlink ref="O22" r:id="rId17" xr:uid="{97B090AC-C2A3-45F8-94CE-B91E53D0599D}"/>
    <hyperlink ref="O34" r:id="rId18" xr:uid="{DEAA9084-E43D-4E28-87D7-BDA3CDF58BB7}"/>
    <hyperlink ref="U34" r:id="rId19" xr:uid="{3828DF41-962A-47B8-9618-198281FBDE1B}"/>
    <hyperlink ref="O33" r:id="rId20" xr:uid="{FFBEE314-6579-40D7-B30C-4CDB69244572}"/>
    <hyperlink ref="O23" r:id="rId21" xr:uid="{DEFCA8DA-7777-49DC-AF5F-F5F37E45F107}"/>
    <hyperlink ref="O4" r:id="rId22" xr:uid="{E52B63B1-4AC1-48D8-9D38-4A2DFD800D04}"/>
    <hyperlink ref="O21" r:id="rId23" xr:uid="{52940E86-CF48-4055-9254-6F98C5F9EA3D}"/>
    <hyperlink ref="O24" r:id="rId24" xr:uid="{F01C8CE3-DD63-4C78-931D-371FA93EB1F6}"/>
    <hyperlink ref="O25" r:id="rId25" xr:uid="{265AB82D-C694-476B-A2F5-2C08D3A2AB75}"/>
    <hyperlink ref="O26" r:id="rId26" xr:uid="{C86FBA5A-87F3-4928-8C15-50CF52C38DF0}"/>
    <hyperlink ref="O27" r:id="rId27" xr:uid="{A3A88DEC-735C-479C-92F9-25750C110E47}"/>
    <hyperlink ref="O28" r:id="rId28" xr:uid="{D3766897-01AB-4458-8600-AFDA41111112}"/>
    <hyperlink ref="O29" r:id="rId29" xr:uid="{7BC2A519-7AF6-4F5E-A7A7-17D174A81874}"/>
    <hyperlink ref="O30" r:id="rId30" xr:uid="{6D936714-4786-4AE4-B009-86D565842A39}"/>
    <hyperlink ref="O31" r:id="rId31" xr:uid="{80B86197-BA4D-4FC6-8E34-B7D6006B4DE7}"/>
    <hyperlink ref="O32" r:id="rId32" xr:uid="{DEE0B57C-80AC-4535-A1A8-F233559319A6}"/>
  </hyperlinks>
  <pageMargins left="0.75" right="0.75" top="1" bottom="1" header="0.5" footer="0.5"/>
  <headerFooter>
    <oddFooter>&amp;C_x000D_&amp;1#&amp;"Calibri"&amp;10&amp;K000000 OXXO | Uso Interno</oddFooter>
  </headerFooter>
  <extLs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27" t="s">
        <v>1</v>
      </c>
      <c r="B1" t="s">
        <v>287</v>
      </c>
    </row>
    <row r="3" spans="1:2">
      <c r="A3" s="27" t="s">
        <v>288</v>
      </c>
      <c r="B3" t="s">
        <v>289</v>
      </c>
    </row>
    <row r="4" spans="1:2">
      <c r="A4" s="28" t="s">
        <v>34</v>
      </c>
      <c r="B4">
        <v>24</v>
      </c>
    </row>
    <row r="5" spans="1:2">
      <c r="A5" s="28" t="s">
        <v>49</v>
      </c>
      <c r="B5">
        <v>1</v>
      </c>
    </row>
    <row r="6" spans="1:2">
      <c r="A6" s="28" t="s">
        <v>65</v>
      </c>
      <c r="B6">
        <v>6</v>
      </c>
    </row>
    <row r="7" spans="1:2">
      <c r="A7" s="28" t="s">
        <v>290</v>
      </c>
      <c r="B7">
        <v>31</v>
      </c>
    </row>
    <row r="22" spans="1:2">
      <c r="A22" t="s">
        <v>288</v>
      </c>
      <c r="B22" t="s">
        <v>289</v>
      </c>
    </row>
    <row r="23" spans="1:2">
      <c r="A23" t="s">
        <v>228</v>
      </c>
      <c r="B23">
        <v>1</v>
      </c>
    </row>
    <row r="24" spans="1:2">
      <c r="A24" t="s">
        <v>113</v>
      </c>
      <c r="B24">
        <v>1</v>
      </c>
    </row>
    <row r="25" spans="1:2">
      <c r="A25" t="s">
        <v>200</v>
      </c>
      <c r="B25">
        <v>1</v>
      </c>
    </row>
    <row r="26" spans="1:2">
      <c r="A26" t="s">
        <v>278</v>
      </c>
      <c r="B26">
        <v>1</v>
      </c>
    </row>
    <row r="27" spans="1:2">
      <c r="A27" t="s">
        <v>62</v>
      </c>
      <c r="B27">
        <v>1</v>
      </c>
    </row>
    <row r="28" spans="1:2">
      <c r="A28" t="s">
        <v>45</v>
      </c>
      <c r="B28">
        <v>1</v>
      </c>
    </row>
    <row r="29" spans="1:2">
      <c r="A29" t="s">
        <v>105</v>
      </c>
      <c r="B29">
        <v>2</v>
      </c>
    </row>
    <row r="30" spans="1:2">
      <c r="A30" t="s">
        <v>146</v>
      </c>
      <c r="B30">
        <v>2</v>
      </c>
    </row>
    <row r="31" spans="1:2">
      <c r="A31" t="s">
        <v>167</v>
      </c>
      <c r="B31">
        <v>2</v>
      </c>
    </row>
    <row r="32" spans="1:2">
      <c r="A32" t="s">
        <v>221</v>
      </c>
      <c r="B32">
        <v>2</v>
      </c>
    </row>
    <row r="33" spans="1:2">
      <c r="A33" t="s">
        <v>176</v>
      </c>
      <c r="B33">
        <v>2</v>
      </c>
    </row>
    <row r="34" spans="1:2">
      <c r="A34" t="s">
        <v>186</v>
      </c>
      <c r="B34">
        <v>3</v>
      </c>
    </row>
    <row r="35" spans="1:2">
      <c r="A35" t="s">
        <v>87</v>
      </c>
      <c r="B35">
        <v>3</v>
      </c>
    </row>
    <row r="36" spans="1:2">
      <c r="A36" t="s">
        <v>73</v>
      </c>
      <c r="B36">
        <v>4</v>
      </c>
    </row>
    <row r="37" spans="1:2">
      <c r="A37" t="s">
        <v>123</v>
      </c>
      <c r="B37">
        <v>5</v>
      </c>
    </row>
    <row r="43" spans="1:2">
      <c r="A43" t="s">
        <v>288</v>
      </c>
      <c r="B43" t="s">
        <v>291</v>
      </c>
    </row>
    <row r="44" spans="1:2">
      <c r="A44" t="s">
        <v>34</v>
      </c>
      <c r="B44">
        <v>24</v>
      </c>
    </row>
    <row r="45" spans="1:2">
      <c r="A45" t="s">
        <v>49</v>
      </c>
      <c r="B45">
        <v>1</v>
      </c>
    </row>
    <row r="46" spans="1:2">
      <c r="A46" t="s">
        <v>65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292</v>
      </c>
      <c r="B1" t="s">
        <v>293</v>
      </c>
    </row>
    <row r="2" spans="1:5">
      <c r="A2" t="s">
        <v>35</v>
      </c>
      <c r="B2" t="s">
        <v>294</v>
      </c>
      <c r="C2" t="s">
        <v>295</v>
      </c>
      <c r="D2" t="s">
        <v>296</v>
      </c>
      <c r="E2" t="s">
        <v>297</v>
      </c>
    </row>
    <row r="3" spans="1:5">
      <c r="A3" t="s">
        <v>298</v>
      </c>
      <c r="B3" t="s">
        <v>299</v>
      </c>
    </row>
    <row r="4" spans="1:5">
      <c r="A4" t="s">
        <v>117</v>
      </c>
      <c r="B4" t="s">
        <v>294</v>
      </c>
    </row>
    <row r="5" spans="1:5">
      <c r="A5" t="s">
        <v>300</v>
      </c>
      <c r="B5" t="s">
        <v>296</v>
      </c>
    </row>
    <row r="6" spans="1:5">
      <c r="A6" t="s">
        <v>301</v>
      </c>
      <c r="B6" t="s">
        <v>293</v>
      </c>
    </row>
    <row r="7" spans="1:5">
      <c r="A7" t="s">
        <v>302</v>
      </c>
      <c r="B7" t="s">
        <v>299</v>
      </c>
    </row>
    <row r="8" spans="1:5">
      <c r="A8" t="s">
        <v>303</v>
      </c>
      <c r="B8" t="s">
        <v>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304</v>
      </c>
      <c r="C1" s="15" t="s">
        <v>305</v>
      </c>
    </row>
    <row r="2" spans="1:3">
      <c r="A2" t="s">
        <v>123</v>
      </c>
      <c r="B2">
        <v>5</v>
      </c>
      <c r="C2" s="16">
        <v>5</v>
      </c>
    </row>
    <row r="3" spans="1:3">
      <c r="A3" t="s">
        <v>73</v>
      </c>
      <c r="B3">
        <v>5</v>
      </c>
      <c r="C3" s="16">
        <v>4</v>
      </c>
    </row>
    <row r="4" spans="1:3">
      <c r="A4" t="s">
        <v>186</v>
      </c>
      <c r="B4">
        <v>5</v>
      </c>
      <c r="C4" s="16">
        <v>3</v>
      </c>
    </row>
    <row r="5" spans="1:3">
      <c r="A5" t="s">
        <v>87</v>
      </c>
      <c r="B5">
        <v>5</v>
      </c>
      <c r="C5" s="16">
        <v>3</v>
      </c>
    </row>
    <row r="6" spans="1:3">
      <c r="A6" t="s">
        <v>105</v>
      </c>
      <c r="B6">
        <v>5</v>
      </c>
      <c r="C6" s="16">
        <v>2</v>
      </c>
    </row>
    <row r="7" spans="1:3">
      <c r="A7" t="s">
        <v>146</v>
      </c>
      <c r="B7">
        <v>5</v>
      </c>
      <c r="C7" s="16">
        <v>2</v>
      </c>
    </row>
    <row r="8" spans="1:3">
      <c r="A8" t="s">
        <v>167</v>
      </c>
      <c r="B8">
        <v>5</v>
      </c>
      <c r="C8" s="16">
        <v>2</v>
      </c>
    </row>
    <row r="9" spans="1:3">
      <c r="A9" t="s">
        <v>221</v>
      </c>
      <c r="B9">
        <v>5</v>
      </c>
      <c r="C9" s="16">
        <v>2</v>
      </c>
    </row>
    <row r="10" spans="1:3">
      <c r="A10" t="s">
        <v>176</v>
      </c>
      <c r="B10">
        <v>5</v>
      </c>
      <c r="C10" s="16">
        <v>2</v>
      </c>
    </row>
    <row r="11" spans="1:3">
      <c r="A11" t="s">
        <v>228</v>
      </c>
      <c r="B11">
        <v>5</v>
      </c>
      <c r="C11" s="16">
        <v>1</v>
      </c>
    </row>
    <row r="12" spans="1:3">
      <c r="A12" t="s">
        <v>113</v>
      </c>
      <c r="B12">
        <v>5</v>
      </c>
      <c r="C12" s="16">
        <v>1</v>
      </c>
    </row>
    <row r="13" spans="1:3">
      <c r="A13" t="s">
        <v>200</v>
      </c>
      <c r="B13">
        <v>5</v>
      </c>
      <c r="C13" s="16">
        <v>1</v>
      </c>
    </row>
    <row r="14" spans="1:3">
      <c r="A14" t="s">
        <v>62</v>
      </c>
      <c r="B14">
        <v>5</v>
      </c>
      <c r="C14" s="16">
        <v>1</v>
      </c>
    </row>
    <row r="15" spans="1:3">
      <c r="A15" t="s">
        <v>45</v>
      </c>
      <c r="B15">
        <v>5</v>
      </c>
      <c r="C15" s="16">
        <v>1</v>
      </c>
    </row>
    <row r="16" spans="1:3">
      <c r="A16" t="s">
        <v>278</v>
      </c>
      <c r="B16">
        <v>5</v>
      </c>
      <c r="C16" s="16">
        <v>0</v>
      </c>
    </row>
    <row r="18" spans="1:3">
      <c r="A18" t="str" cm="1">
        <f t="array" ref="A18:A20">_xlfn.UNIQUE(Visitas_Operaciones!L2:L34)</f>
        <v>Centro</v>
      </c>
      <c r="B18">
        <f>SUM(B2:B16)</f>
        <v>75</v>
      </c>
      <c r="C18" s="16"/>
    </row>
    <row r="19" spans="1:3">
      <c r="A19" t="str">
        <v>Nororiente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0497-9845-44B9-870E-A17678EFCC8F}">
  <dimension ref="A1:I20"/>
  <sheetViews>
    <sheetView workbookViewId="0">
      <selection activeCell="E1" sqref="E1"/>
    </sheetView>
  </sheetViews>
  <sheetFormatPr defaultColWidth="11.42578125" defaultRowHeight="14.45"/>
  <cols>
    <col min="1" max="1" width="35.5703125" bestFit="1" customWidth="1"/>
    <col min="5" max="5" width="12.5703125" bestFit="1" customWidth="1"/>
  </cols>
  <sheetData>
    <row r="1" spans="1:9">
      <c r="A1" s="17" t="s">
        <v>306</v>
      </c>
      <c r="B1" s="17" t="s">
        <v>307</v>
      </c>
      <c r="C1" s="17" t="s">
        <v>308</v>
      </c>
      <c r="D1" s="17" t="s">
        <v>309</v>
      </c>
      <c r="E1" s="17" t="s">
        <v>310</v>
      </c>
      <c r="F1" s="17" t="s">
        <v>311</v>
      </c>
      <c r="G1" s="17" t="s">
        <v>312</v>
      </c>
      <c r="H1" s="17" t="s">
        <v>313</v>
      </c>
      <c r="I1" s="17" t="s">
        <v>305</v>
      </c>
    </row>
    <row r="2" spans="1:9">
      <c r="A2" t="e" cm="1">
        <f t="array" ref="A2">_xlfn.UNIQUE(Visitas_Operaciones!#REF!)</f>
        <v>#REF!</v>
      </c>
      <c r="B2" t="s">
        <v>314</v>
      </c>
      <c r="C2" t="s">
        <v>315</v>
      </c>
      <c r="D2" t="s">
        <v>316</v>
      </c>
      <c r="E2">
        <v>2</v>
      </c>
      <c r="F2">
        <v>1</v>
      </c>
      <c r="G2">
        <v>1</v>
      </c>
      <c r="I2">
        <v>3</v>
      </c>
    </row>
    <row r="3" spans="1:9">
      <c r="B3" t="s">
        <v>314</v>
      </c>
      <c r="C3" t="s">
        <v>317</v>
      </c>
      <c r="D3" t="s">
        <v>316</v>
      </c>
      <c r="E3">
        <v>2</v>
      </c>
      <c r="F3">
        <v>1</v>
      </c>
      <c r="G3">
        <v>0</v>
      </c>
      <c r="H3">
        <v>1</v>
      </c>
      <c r="I3">
        <v>1</v>
      </c>
    </row>
    <row r="4" spans="1:9">
      <c r="B4" t="s">
        <v>314</v>
      </c>
      <c r="C4" t="s">
        <v>318</v>
      </c>
    </row>
    <row r="5" spans="1:9">
      <c r="B5" t="s">
        <v>314</v>
      </c>
      <c r="C5" t="s">
        <v>319</v>
      </c>
      <c r="D5" t="s">
        <v>316</v>
      </c>
      <c r="E5">
        <v>2</v>
      </c>
      <c r="F5">
        <v>2</v>
      </c>
      <c r="G5">
        <v>1</v>
      </c>
      <c r="H5">
        <v>1</v>
      </c>
      <c r="I5">
        <v>1</v>
      </c>
    </row>
    <row r="6" spans="1:9">
      <c r="B6" t="s">
        <v>314</v>
      </c>
      <c r="C6" t="s">
        <v>320</v>
      </c>
      <c r="D6" t="s">
        <v>316</v>
      </c>
      <c r="E6">
        <v>2</v>
      </c>
      <c r="F6">
        <v>2</v>
      </c>
      <c r="G6">
        <v>1</v>
      </c>
      <c r="I6">
        <v>1</v>
      </c>
    </row>
    <row r="7" spans="1:9">
      <c r="B7" t="s">
        <v>314</v>
      </c>
      <c r="C7" t="s">
        <v>321</v>
      </c>
      <c r="D7" t="s">
        <v>316</v>
      </c>
      <c r="E7">
        <v>2</v>
      </c>
      <c r="F7">
        <v>0</v>
      </c>
      <c r="G7">
        <v>0</v>
      </c>
    </row>
    <row r="8" spans="1:9">
      <c r="B8" t="s">
        <v>316</v>
      </c>
      <c r="C8" t="s">
        <v>322</v>
      </c>
    </row>
    <row r="9" spans="1:9">
      <c r="B9" t="s">
        <v>316</v>
      </c>
      <c r="C9" t="s">
        <v>323</v>
      </c>
      <c r="D9" t="s">
        <v>316</v>
      </c>
      <c r="E9">
        <v>10</v>
      </c>
      <c r="F9">
        <v>9</v>
      </c>
      <c r="G9">
        <v>0</v>
      </c>
      <c r="H9">
        <v>3</v>
      </c>
    </row>
    <row r="10" spans="1:9">
      <c r="B10" t="s">
        <v>314</v>
      </c>
      <c r="C10" t="s">
        <v>324</v>
      </c>
      <c r="D10" t="s">
        <v>316</v>
      </c>
      <c r="E10">
        <v>2</v>
      </c>
      <c r="F10">
        <v>2</v>
      </c>
      <c r="G10">
        <v>0</v>
      </c>
    </row>
    <row r="11" spans="1:9">
      <c r="B11" t="s">
        <v>316</v>
      </c>
      <c r="C11" t="s">
        <v>322</v>
      </c>
      <c r="D11" t="s">
        <v>316</v>
      </c>
      <c r="E11">
        <v>5</v>
      </c>
      <c r="F11">
        <v>1</v>
      </c>
      <c r="G11">
        <v>0</v>
      </c>
      <c r="H11">
        <v>1</v>
      </c>
    </row>
    <row r="12" spans="1:9">
      <c r="B12" t="s">
        <v>316</v>
      </c>
      <c r="C12" t="s">
        <v>325</v>
      </c>
    </row>
    <row r="13" spans="1:9">
      <c r="B13" t="s">
        <v>316</v>
      </c>
      <c r="C13" t="s">
        <v>322</v>
      </c>
      <c r="D13" t="s">
        <v>316</v>
      </c>
      <c r="E13">
        <v>5</v>
      </c>
      <c r="F13">
        <v>1</v>
      </c>
      <c r="G13">
        <v>0</v>
      </c>
      <c r="H13">
        <v>3</v>
      </c>
      <c r="I13">
        <v>3</v>
      </c>
    </row>
    <row r="14" spans="1:9">
      <c r="B14" t="s">
        <v>316</v>
      </c>
      <c r="C14" t="s">
        <v>326</v>
      </c>
    </row>
    <row r="15" spans="1:9">
      <c r="B15" t="s">
        <v>316</v>
      </c>
      <c r="C15" t="s">
        <v>326</v>
      </c>
    </row>
    <row r="16" spans="1:9">
      <c r="B16" t="s">
        <v>314</v>
      </c>
      <c r="C16" t="s">
        <v>327</v>
      </c>
    </row>
    <row r="17" spans="1:9">
      <c r="B17" t="s">
        <v>316</v>
      </c>
      <c r="C17" t="s">
        <v>326</v>
      </c>
      <c r="D17" t="s">
        <v>316</v>
      </c>
      <c r="E17">
        <v>5</v>
      </c>
      <c r="F17">
        <v>4</v>
      </c>
      <c r="G17">
        <v>0</v>
      </c>
      <c r="H17">
        <v>3</v>
      </c>
      <c r="I17">
        <v>1</v>
      </c>
    </row>
    <row r="18" spans="1:9">
      <c r="B18" t="s">
        <v>314</v>
      </c>
      <c r="C18" t="s">
        <v>328</v>
      </c>
      <c r="D18" t="s">
        <v>316</v>
      </c>
      <c r="E18">
        <v>2</v>
      </c>
      <c r="F18">
        <v>0</v>
      </c>
      <c r="G18">
        <v>3</v>
      </c>
      <c r="I18">
        <v>1</v>
      </c>
    </row>
    <row r="19" spans="1:9">
      <c r="A19" t="s">
        <v>329</v>
      </c>
      <c r="B19" t="s">
        <v>316</v>
      </c>
      <c r="C19" t="s">
        <v>326</v>
      </c>
      <c r="D19" t="s">
        <v>316</v>
      </c>
      <c r="E19">
        <v>5</v>
      </c>
      <c r="F19">
        <v>0</v>
      </c>
      <c r="G19">
        <v>0</v>
      </c>
      <c r="H19">
        <v>2</v>
      </c>
    </row>
    <row r="20" spans="1:9">
      <c r="A20" s="16" t="s">
        <v>330</v>
      </c>
      <c r="B20" s="16">
        <v>0</v>
      </c>
      <c r="C20" s="16">
        <v>0</v>
      </c>
      <c r="D20" s="16">
        <v>0</v>
      </c>
      <c r="E20" s="19">
        <f>SUM(E2:E19)</f>
        <v>44</v>
      </c>
      <c r="F20" s="19">
        <f>SUM(F2:F19)</f>
        <v>23</v>
      </c>
      <c r="G20" s="17">
        <f>SUM(G2:G19)</f>
        <v>6</v>
      </c>
      <c r="H20" s="17">
        <f>SUM(H2:H19)</f>
        <v>14</v>
      </c>
      <c r="I20" s="17">
        <f>SUM(I2:I19)</f>
        <v>11</v>
      </c>
    </row>
  </sheetData>
  <autoFilter ref="A1:G19" xr:uid="{2E1E0497-9845-44B9-870E-A17678EFCC8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331</v>
      </c>
      <c r="B1" t="s">
        <v>306</v>
      </c>
    </row>
    <row r="2" spans="1:2">
      <c r="A2" t="s">
        <v>325</v>
      </c>
      <c r="B2" t="s">
        <v>332</v>
      </c>
    </row>
    <row r="3" spans="1:2">
      <c r="A3" t="s">
        <v>333</v>
      </c>
      <c r="B3" t="s">
        <v>334</v>
      </c>
    </row>
    <row r="4" spans="1:2">
      <c r="A4" t="s">
        <v>317</v>
      </c>
      <c r="B4" t="s">
        <v>335</v>
      </c>
    </row>
    <row r="5" spans="1:2">
      <c r="A5" t="s">
        <v>315</v>
      </c>
      <c r="B5" t="s">
        <v>336</v>
      </c>
    </row>
    <row r="6" spans="1:2">
      <c r="A6" t="s">
        <v>321</v>
      </c>
      <c r="B6" t="s">
        <v>337</v>
      </c>
    </row>
    <row r="7" spans="1:2">
      <c r="A7" t="s">
        <v>319</v>
      </c>
      <c r="B7" t="s">
        <v>338</v>
      </c>
    </row>
    <row r="8" spans="1:2">
      <c r="A8" t="s">
        <v>320</v>
      </c>
      <c r="B8" t="s">
        <v>339</v>
      </c>
    </row>
    <row r="9" spans="1:2">
      <c r="A9" t="s">
        <v>324</v>
      </c>
      <c r="B9" t="s">
        <v>340</v>
      </c>
    </row>
    <row r="10" spans="1:2">
      <c r="A10" t="s">
        <v>341</v>
      </c>
      <c r="B10" t="s">
        <v>342</v>
      </c>
    </row>
    <row r="11" spans="1:2">
      <c r="A11" t="s">
        <v>328</v>
      </c>
      <c r="B11" t="s">
        <v>343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66" thickBot="1">
      <c r="A1" s="8">
        <v>3556027</v>
      </c>
      <c r="B1" s="8" t="s">
        <v>344</v>
      </c>
      <c r="C1" s="9"/>
      <c r="D1" s="8" t="s">
        <v>345</v>
      </c>
      <c r="E1" s="8" t="s">
        <v>346</v>
      </c>
      <c r="F1" s="8" t="s">
        <v>347</v>
      </c>
      <c r="G1" s="8" t="s">
        <v>348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32</v>
      </c>
      <c r="O1" s="8" t="s">
        <v>349</v>
      </c>
      <c r="P1" s="12" t="s">
        <v>350</v>
      </c>
      <c r="Q1" s="8" t="s">
        <v>351</v>
      </c>
      <c r="R1" s="1" t="s">
        <v>352</v>
      </c>
      <c r="S1" s="8" t="s">
        <v>353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66" thickBot="1">
      <c r="A2" s="8">
        <v>3556039</v>
      </c>
      <c r="B2" s="8" t="s">
        <v>344</v>
      </c>
      <c r="C2" s="9"/>
      <c r="D2" s="8" t="s">
        <v>345</v>
      </c>
      <c r="E2" s="8" t="s">
        <v>346</v>
      </c>
      <c r="F2" s="8" t="s">
        <v>347</v>
      </c>
      <c r="G2" s="8" t="s">
        <v>348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32</v>
      </c>
      <c r="O2" s="8" t="s">
        <v>349</v>
      </c>
      <c r="P2" s="12" t="s">
        <v>350</v>
      </c>
      <c r="Q2" s="8" t="s">
        <v>354</v>
      </c>
      <c r="R2" s="1" t="s">
        <v>352</v>
      </c>
      <c r="S2" s="8" t="s">
        <v>355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356</v>
      </c>
      <c r="C3" s="9"/>
      <c r="D3" s="8" t="s">
        <v>357</v>
      </c>
      <c r="E3" s="8" t="s">
        <v>346</v>
      </c>
      <c r="F3" s="8" t="s">
        <v>347</v>
      </c>
      <c r="G3" s="8" t="s">
        <v>358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32</v>
      </c>
      <c r="O3" s="8" t="s">
        <v>349</v>
      </c>
      <c r="P3" s="12" t="s">
        <v>350</v>
      </c>
      <c r="Q3" s="8" t="s">
        <v>359</v>
      </c>
      <c r="R3" s="1" t="s">
        <v>352</v>
      </c>
      <c r="S3" s="8" t="s">
        <v>360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343</v>
      </c>
      <c r="C4" s="9"/>
      <c r="D4" s="8" t="s">
        <v>361</v>
      </c>
      <c r="E4" s="8" t="s">
        <v>346</v>
      </c>
      <c r="F4" s="8" t="s">
        <v>347</v>
      </c>
      <c r="G4" s="8" t="s">
        <v>362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32</v>
      </c>
      <c r="O4" s="8" t="s">
        <v>349</v>
      </c>
      <c r="P4" s="12" t="s">
        <v>350</v>
      </c>
      <c r="Q4" s="8" t="s">
        <v>363</v>
      </c>
      <c r="R4" s="1" t="s">
        <v>352</v>
      </c>
      <c r="S4" s="8" t="s">
        <v>364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BFB4-0438-46CA-8950-6F60AA269E8A}">
  <dimension ref="A1:J20"/>
  <sheetViews>
    <sheetView workbookViewId="0">
      <selection activeCell="G2" sqref="G2"/>
    </sheetView>
  </sheetViews>
  <sheetFormatPr defaultColWidth="11.42578125" defaultRowHeight="14.45"/>
  <cols>
    <col min="1" max="1" width="35.5703125" bestFit="1" customWidth="1"/>
    <col min="2" max="3" width="11" bestFit="1" customWidth="1"/>
    <col min="4" max="4" width="6" bestFit="1" customWidth="1"/>
    <col min="5" max="5" width="11.28515625" bestFit="1" customWidth="1"/>
    <col min="6" max="6" width="14.140625" bestFit="1" customWidth="1"/>
    <col min="7" max="9" width="7.42578125" bestFit="1" customWidth="1"/>
  </cols>
  <sheetData>
    <row r="1" spans="1:10">
      <c r="A1" s="17" t="s">
        <v>306</v>
      </c>
      <c r="B1" s="17" t="s">
        <v>307</v>
      </c>
      <c r="C1" s="17" t="s">
        <v>308</v>
      </c>
      <c r="D1" s="17" t="s">
        <v>309</v>
      </c>
      <c r="E1" s="17" t="s">
        <v>365</v>
      </c>
      <c r="F1" s="18" t="s">
        <v>366</v>
      </c>
      <c r="G1" s="17" t="s">
        <v>311</v>
      </c>
      <c r="H1" s="17" t="s">
        <v>312</v>
      </c>
      <c r="I1" s="17" t="s">
        <v>313</v>
      </c>
      <c r="J1" s="17" t="s">
        <v>305</v>
      </c>
    </row>
    <row r="2" spans="1:10">
      <c r="A2" t="e" cm="1">
        <f t="array" ref="A2">_xlfn.UNIQUE(Visitas_Operaciones!#REF!)</f>
        <v>#REF!</v>
      </c>
      <c r="B2" t="s">
        <v>314</v>
      </c>
      <c r="C2" t="s">
        <v>315</v>
      </c>
      <c r="D2" t="s">
        <v>316</v>
      </c>
      <c r="E2">
        <v>8</v>
      </c>
      <c r="F2" s="13">
        <v>10</v>
      </c>
      <c r="G2" s="16">
        <f>COUNTIFS(Visitas_Operaciones!$B:$B,Visitas!$A2,Visitas_Operaciones!$AR:$AR,Visitas!G$1)</f>
        <v>0</v>
      </c>
      <c r="H2" s="16">
        <f>COUNTIFS(Visitas_Operaciones!$B:$B,Visitas!$A2,Visitas_Operaciones!$AR:$AR,Visitas!H$1)</f>
        <v>0</v>
      </c>
      <c r="I2" s="16">
        <f>COUNTIFS(Visitas_Operaciones!$B:$B,Visitas!$A2,Visitas_Operaciones!$AR:$AR,Visitas!I$1)</f>
        <v>0</v>
      </c>
      <c r="J2" s="16">
        <f>COUNTIFS(Visitas_Operaciones!$B:$B,Visitas!$A2,Visitas_Operaciones!$AR:$AR,Visitas!J$1)</f>
        <v>0</v>
      </c>
    </row>
    <row r="3" spans="1:10">
      <c r="B3" t="s">
        <v>314</v>
      </c>
      <c r="C3" t="s">
        <v>317</v>
      </c>
      <c r="D3" t="s">
        <v>316</v>
      </c>
      <c r="E3">
        <v>8</v>
      </c>
      <c r="F3" s="13">
        <v>10</v>
      </c>
      <c r="G3" s="16">
        <f>COUNTIFS(Visitas_Operaciones!B:B,Visitas!A3,Visitas_Operaciones!AR:AR,Visitas!$G$1)</f>
        <v>0</v>
      </c>
      <c r="H3" s="16">
        <f>COUNTIFS(Visitas_Operaciones!B:B,Visitas!A3,Visitas_Operaciones!AR:AR,$H$1)</f>
        <v>0</v>
      </c>
      <c r="I3" s="16">
        <f>COUNTIFS(Visitas_Operaciones!$B:$B,Visitas!$A3,Visitas_Operaciones!$AR:$AR,Visitas!I$1)</f>
        <v>0</v>
      </c>
      <c r="J3" s="16">
        <f>COUNTIFS(Visitas_Operaciones!$B:$B,Visitas!$A3,Visitas_Operaciones!$AR:$AR,Visitas!J$1)</f>
        <v>0</v>
      </c>
    </row>
    <row r="4" spans="1:10">
      <c r="B4" t="s">
        <v>314</v>
      </c>
      <c r="C4" t="s">
        <v>318</v>
      </c>
      <c r="F4" s="13"/>
      <c r="G4" s="16">
        <f>COUNTIFS(Visitas_Operaciones!B:B,Visitas!A4,Visitas_Operaciones!AR:AR,Visitas!$G$1)</f>
        <v>0</v>
      </c>
      <c r="H4" s="16">
        <f>COUNTIFS(Visitas_Operaciones!B:B,Visitas!A4,Visitas_Operaciones!AR:AR,$H$1)</f>
        <v>0</v>
      </c>
      <c r="I4" s="16">
        <f>COUNTIFS(Visitas_Operaciones!$B:$B,Visitas!$A4,Visitas_Operaciones!$AR:$AR,Visitas!I$1)</f>
        <v>0</v>
      </c>
      <c r="J4" s="16">
        <f>COUNTIFS(Visitas_Operaciones!$B:$B,Visitas!$A4,Visitas_Operaciones!$AR:$AR,Visitas!J$1)</f>
        <v>0</v>
      </c>
    </row>
    <row r="5" spans="1:10">
      <c r="B5" t="s">
        <v>314</v>
      </c>
      <c r="C5" t="s">
        <v>319</v>
      </c>
      <c r="D5" t="s">
        <v>316</v>
      </c>
      <c r="E5">
        <v>8</v>
      </c>
      <c r="F5" s="13">
        <v>10</v>
      </c>
      <c r="G5" s="16">
        <f>COUNTIFS(Visitas_Operaciones!B:B,Visitas!A5,Visitas_Operaciones!AR:AR,Visitas!$G$1)</f>
        <v>0</v>
      </c>
      <c r="H5" s="16">
        <f>COUNTIFS(Visitas_Operaciones!B:B,Visitas!A5,Visitas_Operaciones!AR:AR,$H$1)</f>
        <v>0</v>
      </c>
      <c r="I5" s="16">
        <f>COUNTIFS(Visitas_Operaciones!$B:$B,Visitas!$A5,Visitas_Operaciones!$AR:$AR,Visitas!I$1)</f>
        <v>0</v>
      </c>
      <c r="J5" s="16">
        <f>COUNTIFS(Visitas_Operaciones!$B:$B,Visitas!$A5,Visitas_Operaciones!$AR:$AR,Visitas!J$1)</f>
        <v>0</v>
      </c>
    </row>
    <row r="6" spans="1:10">
      <c r="B6" t="s">
        <v>314</v>
      </c>
      <c r="C6" t="s">
        <v>320</v>
      </c>
      <c r="D6" t="s">
        <v>316</v>
      </c>
      <c r="E6">
        <v>8</v>
      </c>
      <c r="F6" s="13">
        <v>10</v>
      </c>
      <c r="G6" s="16">
        <f>COUNTIFS(Visitas_Operaciones!B:B,Visitas!A6,Visitas_Operaciones!AR:AR,Visitas!$G$1)</f>
        <v>0</v>
      </c>
      <c r="H6" s="16">
        <f>COUNTIFS(Visitas_Operaciones!B:B,Visitas!A6,Visitas_Operaciones!AR:AR,$H$1)</f>
        <v>0</v>
      </c>
      <c r="I6" s="16">
        <f>COUNTIFS(Visitas_Operaciones!$B:$B,Visitas!$A6,Visitas_Operaciones!$AR:$AR,Visitas!I$1)</f>
        <v>0</v>
      </c>
      <c r="J6" s="16">
        <f>COUNTIFS(Visitas_Operaciones!$B:$B,Visitas!$A6,Visitas_Operaciones!$AR:$AR,Visitas!J$1)</f>
        <v>0</v>
      </c>
    </row>
    <row r="7" spans="1:10">
      <c r="B7" t="s">
        <v>314</v>
      </c>
      <c r="C7" t="s">
        <v>321</v>
      </c>
      <c r="D7" t="s">
        <v>316</v>
      </c>
      <c r="E7">
        <v>8</v>
      </c>
      <c r="F7" s="13">
        <v>10</v>
      </c>
      <c r="G7" s="16">
        <f>COUNTIFS(Visitas_Operaciones!B:B,Visitas!A7,Visitas_Operaciones!AR:AR,Visitas!$G$1)</f>
        <v>0</v>
      </c>
      <c r="H7" s="16">
        <f>COUNTIFS(Visitas_Operaciones!B:B,Visitas!A7,Visitas_Operaciones!AR:AR,$H$1)</f>
        <v>0</v>
      </c>
      <c r="I7" s="16">
        <f>COUNTIFS(Visitas_Operaciones!$B:$B,Visitas!$A7,Visitas_Operaciones!$AR:$AR,Visitas!I$1)</f>
        <v>0</v>
      </c>
      <c r="J7" s="16">
        <f>COUNTIFS(Visitas_Operaciones!$B:$B,Visitas!$A7,Visitas_Operaciones!$AR:$AR,Visitas!J$1)</f>
        <v>0</v>
      </c>
    </row>
    <row r="8" spans="1:10">
      <c r="B8" t="s">
        <v>316</v>
      </c>
      <c r="C8" t="s">
        <v>322</v>
      </c>
      <c r="F8" s="13"/>
      <c r="G8" s="16">
        <f>COUNTIFS(Visitas_Operaciones!B:B,Visitas!A8,Visitas_Operaciones!AR:AR,Visitas!$G$1)</f>
        <v>0</v>
      </c>
      <c r="H8" s="16">
        <f>COUNTIFS(Visitas_Operaciones!B:B,Visitas!A8,Visitas_Operaciones!AR:AR,$H$1)</f>
        <v>0</v>
      </c>
      <c r="I8" s="16">
        <f>COUNTIFS(Visitas_Operaciones!$B:$B,Visitas!$A8,Visitas_Operaciones!$AR:$AR,Visitas!I$1)</f>
        <v>0</v>
      </c>
      <c r="J8" s="16">
        <f>COUNTIFS(Visitas_Operaciones!$B:$B,Visitas!$A8,Visitas_Operaciones!$AR:$AR,Visitas!J$1)</f>
        <v>0</v>
      </c>
    </row>
    <row r="9" spans="1:10">
      <c r="B9" t="s">
        <v>316</v>
      </c>
      <c r="C9" t="s">
        <v>323</v>
      </c>
      <c r="D9" t="s">
        <v>316</v>
      </c>
      <c r="E9" s="14">
        <f>(F9/5)*4</f>
        <v>26.4</v>
      </c>
      <c r="F9" s="13">
        <v>33</v>
      </c>
      <c r="G9" s="16">
        <f>COUNTIFS(Visitas_Operaciones!B:B,Visitas!A9,Visitas_Operaciones!AR:AR,Visitas!$G$1)</f>
        <v>0</v>
      </c>
      <c r="H9" s="16">
        <f>COUNTIFS(Visitas_Operaciones!B:B,Visitas!A9,Visitas_Operaciones!AR:AR,$H$1)</f>
        <v>0</v>
      </c>
      <c r="I9" s="16">
        <f>COUNTIFS(Visitas_Operaciones!$B:$B,Visitas!$A9,Visitas_Operaciones!$AR:$AR,Visitas!I$1)</f>
        <v>0</v>
      </c>
      <c r="J9" s="16">
        <f>COUNTIFS(Visitas_Operaciones!$B:$B,Visitas!$A9,Visitas_Operaciones!$AR:$AR,Visitas!J$1)</f>
        <v>0</v>
      </c>
    </row>
    <row r="10" spans="1:10">
      <c r="B10" t="s">
        <v>314</v>
      </c>
      <c r="C10" t="s">
        <v>324</v>
      </c>
      <c r="D10" t="s">
        <v>316</v>
      </c>
      <c r="E10">
        <v>8</v>
      </c>
      <c r="F10" s="13">
        <v>10</v>
      </c>
      <c r="G10" s="16">
        <f>COUNTIFS(Visitas_Operaciones!B:B,Visitas!A10,Visitas_Operaciones!AR:AR,Visitas!$G$1)</f>
        <v>0</v>
      </c>
      <c r="H10" s="16">
        <f>COUNTIFS(Visitas_Operaciones!B:B,Visitas!A10,Visitas_Operaciones!AR:AR,$H$1)</f>
        <v>0</v>
      </c>
      <c r="I10" s="16">
        <f>COUNTIFS(Visitas_Operaciones!$B:$B,Visitas!$A10,Visitas_Operaciones!$AR:$AR,Visitas!I$1)</f>
        <v>0</v>
      </c>
      <c r="J10" s="16">
        <f>COUNTIFS(Visitas_Operaciones!$B:$B,Visitas!$A10,Visitas_Operaciones!$AR:$AR,Visitas!J$1)</f>
        <v>0</v>
      </c>
    </row>
    <row r="11" spans="1:10">
      <c r="B11" t="s">
        <v>316</v>
      </c>
      <c r="C11" t="s">
        <v>322</v>
      </c>
      <c r="D11" t="s">
        <v>316</v>
      </c>
      <c r="E11" s="14">
        <f>(F11/5)*4</f>
        <v>13.333333333333281</v>
      </c>
      <c r="F11" s="13">
        <v>16.6666666666666</v>
      </c>
      <c r="G11" s="16">
        <f>COUNTIFS(Visitas_Operaciones!B:B,Visitas!A11,Visitas_Operaciones!AR:AR,Visitas!$G$1)</f>
        <v>0</v>
      </c>
      <c r="H11" s="16">
        <f>COUNTIFS(Visitas_Operaciones!B:B,Visitas!A11,Visitas_Operaciones!AR:AR,$H$1)</f>
        <v>0</v>
      </c>
      <c r="I11" s="16">
        <f>COUNTIFS(Visitas_Operaciones!$B:$B,Visitas!$A11,Visitas_Operaciones!$AR:$AR,Visitas!I$1)</f>
        <v>0</v>
      </c>
      <c r="J11" s="16">
        <f>COUNTIFS(Visitas_Operaciones!$B:$B,Visitas!$A11,Visitas_Operaciones!$AR:$AR,Visitas!J$1)</f>
        <v>0</v>
      </c>
    </row>
    <row r="12" spans="1:10">
      <c r="B12" t="s">
        <v>316</v>
      </c>
      <c r="C12" t="s">
        <v>325</v>
      </c>
      <c r="F12" s="13"/>
      <c r="G12" s="16">
        <f>COUNTIFS(Visitas_Operaciones!B:B,Visitas!A12,Visitas_Operaciones!AR:AR,Visitas!$G$1)</f>
        <v>0</v>
      </c>
      <c r="H12" s="16">
        <f>COUNTIFS(Visitas_Operaciones!B:B,Visitas!A12,Visitas_Operaciones!AR:AR,$H$1)</f>
        <v>0</v>
      </c>
      <c r="I12" s="16">
        <f>COUNTIFS(Visitas_Operaciones!$B:$B,Visitas!$A12,Visitas_Operaciones!$AR:$AR,Visitas!I$1)</f>
        <v>0</v>
      </c>
      <c r="J12" s="16">
        <f>COUNTIFS(Visitas_Operaciones!$B:$B,Visitas!$A12,Visitas_Operaciones!$AR:$AR,Visitas!J$1)</f>
        <v>0</v>
      </c>
    </row>
    <row r="13" spans="1:10">
      <c r="B13" t="s">
        <v>316</v>
      </c>
      <c r="C13" t="s">
        <v>322</v>
      </c>
      <c r="D13" t="s">
        <v>316</v>
      </c>
      <c r="E13" s="14">
        <f>(F13/5)*4</f>
        <v>13.333333333333281</v>
      </c>
      <c r="F13" s="13">
        <v>16.6666666666666</v>
      </c>
      <c r="G13" s="16">
        <f>COUNTIFS(Visitas_Operaciones!B:B,Visitas!A13,Visitas_Operaciones!AR:AR,Visitas!$G$1)</f>
        <v>0</v>
      </c>
      <c r="H13" s="16">
        <f>COUNTIFS(Visitas_Operaciones!B:B,Visitas!A13,Visitas_Operaciones!AR:AR,$H$1)</f>
        <v>0</v>
      </c>
      <c r="I13" s="16">
        <f>COUNTIFS(Visitas_Operaciones!$B:$B,Visitas!$A13,Visitas_Operaciones!$AR:$AR,Visitas!I$1)</f>
        <v>0</v>
      </c>
      <c r="J13" s="16">
        <f>COUNTIFS(Visitas_Operaciones!$B:$B,Visitas!$A13,Visitas_Operaciones!$AR:$AR,Visitas!J$1)</f>
        <v>0</v>
      </c>
    </row>
    <row r="14" spans="1:10">
      <c r="B14" t="s">
        <v>316</v>
      </c>
      <c r="C14" t="s">
        <v>326</v>
      </c>
      <c r="F14" s="13"/>
      <c r="G14" s="16">
        <f>COUNTIFS(Visitas_Operaciones!B:B,Visitas!A14,Visitas_Operaciones!AR:AR,Visitas!$G$1)</f>
        <v>0</v>
      </c>
      <c r="H14" s="16">
        <f>COUNTIFS(Visitas_Operaciones!B:B,Visitas!A14,Visitas_Operaciones!AR:AR,$H$1)</f>
        <v>0</v>
      </c>
      <c r="I14" s="16">
        <f>COUNTIFS(Visitas_Operaciones!$B:$B,Visitas!$A14,Visitas_Operaciones!$AR:$AR,Visitas!I$1)</f>
        <v>0</v>
      </c>
      <c r="J14" s="16">
        <f>COUNTIFS(Visitas_Operaciones!$B:$B,Visitas!$A14,Visitas_Operaciones!$AR:$AR,Visitas!J$1)</f>
        <v>0</v>
      </c>
    </row>
    <row r="15" spans="1:10">
      <c r="B15" t="s">
        <v>316</v>
      </c>
      <c r="C15" t="s">
        <v>326</v>
      </c>
      <c r="F15" s="13"/>
      <c r="G15" s="16">
        <f>COUNTIFS(Visitas_Operaciones!B:B,Visitas!A15,Visitas_Operaciones!AR:AR,Visitas!$G$1)</f>
        <v>0</v>
      </c>
      <c r="H15" s="16">
        <f>COUNTIFS(Visitas_Operaciones!B:B,Visitas!A15,Visitas_Operaciones!AR:AR,$H$1)</f>
        <v>0</v>
      </c>
      <c r="I15" s="16">
        <f>COUNTIFS(Visitas_Operaciones!$B:$B,Visitas!$A15,Visitas_Operaciones!$AR:$AR,Visitas!I$1)</f>
        <v>0</v>
      </c>
      <c r="J15" s="16">
        <f>COUNTIFS(Visitas_Operaciones!$B:$B,Visitas!$A15,Visitas_Operaciones!$AR:$AR,Visitas!J$1)</f>
        <v>0</v>
      </c>
    </row>
    <row r="16" spans="1:10">
      <c r="B16" t="s">
        <v>314</v>
      </c>
      <c r="C16" t="s">
        <v>327</v>
      </c>
      <c r="F16" s="13"/>
      <c r="G16" s="16">
        <f>COUNTIFS(Visitas_Operaciones!B:B,Visitas!A16,Visitas_Operaciones!AR:AR,Visitas!$G$1)</f>
        <v>0</v>
      </c>
      <c r="H16" s="16">
        <f>COUNTIFS(Visitas_Operaciones!B:B,Visitas!A16,Visitas_Operaciones!AR:AR,$H$1)</f>
        <v>0</v>
      </c>
      <c r="I16" s="16">
        <f>COUNTIFS(Visitas_Operaciones!$B:$B,Visitas!$A16,Visitas_Operaciones!$AR:$AR,Visitas!I$1)</f>
        <v>0</v>
      </c>
      <c r="J16" s="16">
        <f>COUNTIFS(Visitas_Operaciones!$B:$B,Visitas!$A16,Visitas_Operaciones!$AR:$AR,Visitas!J$1)</f>
        <v>0</v>
      </c>
    </row>
    <row r="17" spans="1:10">
      <c r="B17" t="s">
        <v>316</v>
      </c>
      <c r="C17" t="s">
        <v>326</v>
      </c>
      <c r="D17" t="s">
        <v>316</v>
      </c>
      <c r="E17" s="14">
        <f>(F17/5)*4</f>
        <v>13.333333200000002</v>
      </c>
      <c r="F17" s="13">
        <v>16.666666500000002</v>
      </c>
      <c r="G17" s="16">
        <f>COUNTIFS(Visitas_Operaciones!B:B,Visitas!A17,Visitas_Operaciones!AR:AR,Visitas!$G$1)</f>
        <v>0</v>
      </c>
      <c r="H17" s="16">
        <f>COUNTIFS(Visitas_Operaciones!B:B,Visitas!A17,Visitas_Operaciones!AR:AR,$H$1)</f>
        <v>0</v>
      </c>
      <c r="I17" s="16">
        <f>COUNTIFS(Visitas_Operaciones!$B:$B,Visitas!$A17,Visitas_Operaciones!$AR:$AR,Visitas!I$1)</f>
        <v>0</v>
      </c>
      <c r="J17" s="16">
        <f>COUNTIFS(Visitas_Operaciones!$B:$B,Visitas!$A17,Visitas_Operaciones!$AR:$AR,Visitas!J$1)</f>
        <v>0</v>
      </c>
    </row>
    <row r="18" spans="1:10">
      <c r="B18" t="s">
        <v>314</v>
      </c>
      <c r="C18" t="s">
        <v>328</v>
      </c>
      <c r="D18" t="s">
        <v>316</v>
      </c>
      <c r="E18">
        <v>8</v>
      </c>
      <c r="F18" s="13">
        <v>10</v>
      </c>
      <c r="G18" s="16">
        <f>COUNTIFS(Visitas_Operaciones!B:B,Visitas!A18,Visitas_Operaciones!AR:AR,Visitas!$G$1)</f>
        <v>0</v>
      </c>
      <c r="H18" s="16">
        <f>COUNTIFS(Visitas_Operaciones!B:B,Visitas!A18,Visitas_Operaciones!AR:AR,$H$1)</f>
        <v>0</v>
      </c>
      <c r="I18" s="16">
        <f>COUNTIFS(Visitas_Operaciones!$B:$B,Visitas!$A18,Visitas_Operaciones!$AR:$AR,Visitas!I$1)</f>
        <v>0</v>
      </c>
      <c r="J18" s="16">
        <f>COUNTIFS(Visitas_Operaciones!$B:$B,Visitas!$A18,Visitas_Operaciones!$AR:$AR,Visitas!J$1)</f>
        <v>0</v>
      </c>
    </row>
    <row r="19" spans="1:10">
      <c r="A19" t="s">
        <v>329</v>
      </c>
      <c r="B19" t="s">
        <v>316</v>
      </c>
      <c r="C19" t="s">
        <v>326</v>
      </c>
      <c r="D19" t="s">
        <v>316</v>
      </c>
      <c r="E19" s="14">
        <f>(F19/5)*4</f>
        <v>13.333333200000002</v>
      </c>
      <c r="F19" s="13">
        <v>16.666666500000002</v>
      </c>
      <c r="G19" s="16">
        <f>COUNTIFS(Visitas_Operaciones!B:B,Visitas!A19,Visitas_Operaciones!AR:AR,Visitas!$G$1)</f>
        <v>0</v>
      </c>
      <c r="H19" s="16">
        <f>COUNTIFS(Visitas_Operaciones!B:B,Visitas!A19,Visitas_Operaciones!AR:AR,$H$1)</f>
        <v>0</v>
      </c>
      <c r="I19" s="16">
        <f>COUNTIFS(Visitas_Operaciones!$B:$B,Visitas!$A19,Visitas_Operaciones!$AR:$AR,Visitas!I$1)</f>
        <v>0</v>
      </c>
      <c r="J19" s="16">
        <f>COUNTIFS(Visitas_Operaciones!$B:$B,Visitas!$A19,Visitas_Operaciones!$AR:$AR,Visitas!J$1)</f>
        <v>0</v>
      </c>
    </row>
    <row r="20" spans="1:10">
      <c r="A20" s="16" t="s">
        <v>330</v>
      </c>
      <c r="B20" s="16"/>
      <c r="C20" s="16"/>
      <c r="D20" s="16"/>
      <c r="E20" s="16"/>
      <c r="F20" s="16"/>
      <c r="G20" s="16">
        <f>SUM(G2:G19)</f>
        <v>0</v>
      </c>
      <c r="H20" s="16">
        <f>SUM(H2:H19)</f>
        <v>0</v>
      </c>
      <c r="I20" s="16">
        <f>SUM(I2:I19)</f>
        <v>0</v>
      </c>
      <c r="J20" s="16">
        <f>SUM(J2:J19)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BECF-59BE-4A82-8981-6ACB4888C778}">
  <dimension ref="A1:F5"/>
  <sheetViews>
    <sheetView workbookViewId="0">
      <selection activeCell="G24" sqref="G24"/>
    </sheetView>
  </sheetViews>
  <sheetFormatPr defaultColWidth="11.42578125" defaultRowHeight="14.45"/>
  <cols>
    <col min="2" max="2" width="6.85546875" bestFit="1" customWidth="1"/>
    <col min="3" max="3" width="5.28515625" bestFit="1" customWidth="1"/>
    <col min="5" max="5" width="4.42578125" bestFit="1" customWidth="1"/>
    <col min="6" max="6" width="12.85546875" bestFit="1" customWidth="1"/>
  </cols>
  <sheetData>
    <row r="1" spans="1:6">
      <c r="A1" s="23" t="s">
        <v>367</v>
      </c>
      <c r="B1" s="24" t="s">
        <v>368</v>
      </c>
      <c r="C1" s="24" t="s">
        <v>369</v>
      </c>
      <c r="D1" s="24" t="s">
        <v>370</v>
      </c>
      <c r="E1" s="24" t="s">
        <v>371</v>
      </c>
      <c r="F1" s="24" t="s">
        <v>372</v>
      </c>
    </row>
    <row r="2" spans="1:6">
      <c r="A2" s="17" t="s">
        <v>311</v>
      </c>
      <c r="B2" s="21" t="str">
        <f>IF(COUNTIF('Festivos Colombia 2025-2026'!$C$2:$C$37,A2)&gt;0,"SI","NO")</f>
        <v>NO</v>
      </c>
      <c r="C2" s="20" t="str">
        <f>IF(B2="NO","170","136")</f>
        <v>170</v>
      </c>
      <c r="D2" s="19">
        <f>COUNTIF(Visitas_Operaciones!$AR:$AR,'Cumplimiento Visitas'!A2)</f>
        <v>0</v>
      </c>
      <c r="E2" s="20" t="e">
        <f>_xlfn.XLOOKUP(A2,Visitas_Operaciones!$AR:$AR,Visitas_Operaciones!$AP:$AP)</f>
        <v>#N/A</v>
      </c>
      <c r="F2" s="22">
        <f>D2/C2</f>
        <v>0</v>
      </c>
    </row>
    <row r="3" spans="1:6">
      <c r="A3" s="17" t="s">
        <v>312</v>
      </c>
      <c r="B3" s="21" t="str">
        <f>IF(COUNTIF('Festivos Colombia 2025-2026'!$C$2:$C$37,A3)&gt;0,"SI","NO")</f>
        <v>SI</v>
      </c>
      <c r="C3" s="20" t="str">
        <f t="shared" ref="C3:C4" si="0">IF(B3="NO","170","136")</f>
        <v>136</v>
      </c>
      <c r="D3" s="19">
        <f>COUNTIF(Visitas_Operaciones!$AR:$AR,'Cumplimiento Visitas'!A3)</f>
        <v>0</v>
      </c>
      <c r="E3" s="20" t="e">
        <f>_xlfn.XLOOKUP(A3,Visitas_Operaciones!$AR:$AR,Visitas_Operaciones!$AP:$AP)</f>
        <v>#N/A</v>
      </c>
      <c r="F3" s="22">
        <f t="shared" ref="F3:F4" si="1">D3/C3</f>
        <v>0</v>
      </c>
    </row>
    <row r="4" spans="1:6">
      <c r="A4" s="17" t="s">
        <v>313</v>
      </c>
      <c r="B4" s="21" t="str">
        <f>IF(COUNTIF('Festivos Colombia 2025-2026'!$C$2:$C$37,A4)&gt;0,"SI","NO")</f>
        <v>NO</v>
      </c>
      <c r="C4" s="20" t="str">
        <f t="shared" si="0"/>
        <v>170</v>
      </c>
      <c r="D4" s="19">
        <f>COUNTIF(Visitas_Operaciones!$AR:$AR,'Cumplimiento Visitas'!A4)</f>
        <v>0</v>
      </c>
      <c r="E4" s="20" t="e">
        <f>_xlfn.XLOOKUP(A4,Visitas_Operaciones!$AR:$AR,Visitas_Operaciones!$AP:$AP)</f>
        <v>#N/A</v>
      </c>
      <c r="F4" s="22">
        <f t="shared" si="1"/>
        <v>0</v>
      </c>
    </row>
    <row r="5" spans="1:6">
      <c r="A5" s="17" t="s">
        <v>305</v>
      </c>
      <c r="B5" s="21" t="str">
        <f>IF(COUNTIF('Festivos Colombia 2025-2026'!$C$2:$C$37,A5)&gt;0,"SI","NO")</f>
        <v>SI</v>
      </c>
      <c r="C5" s="20" t="str">
        <f t="shared" ref="C5" si="2">IF(B5="NO","170","136")</f>
        <v>136</v>
      </c>
      <c r="D5" s="19">
        <f>COUNTIF(Visitas_Operaciones!$AR:$AR,'Cumplimiento Visitas'!A5)</f>
        <v>0</v>
      </c>
      <c r="E5" s="20" t="e">
        <f>_xlfn.XLOOKUP(A5,Visitas_Operaciones!$AR:$AR,Visitas_Operaciones!$AP:$AP)</f>
        <v>#N/A</v>
      </c>
      <c r="F5" s="22">
        <f t="shared" ref="F5" si="3">D5/C5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69E4-41C6-457B-BD78-C011DE18279B}">
  <dimension ref="A1:E5"/>
  <sheetViews>
    <sheetView workbookViewId="0">
      <selection activeCell="B5" sqref="B5"/>
    </sheetView>
  </sheetViews>
  <sheetFormatPr defaultColWidth="11.42578125" defaultRowHeight="14.45"/>
  <cols>
    <col min="2" max="2" width="5.28515625" bestFit="1" customWidth="1"/>
    <col min="3" max="3" width="12.85546875" bestFit="1" customWidth="1"/>
    <col min="4" max="4" width="4.42578125" bestFit="1" customWidth="1"/>
    <col min="5" max="5" width="12.85546875" bestFit="1" customWidth="1"/>
  </cols>
  <sheetData>
    <row r="1" spans="1:5">
      <c r="A1" s="23" t="s">
        <v>367</v>
      </c>
      <c r="B1" s="24" t="s">
        <v>369</v>
      </c>
      <c r="C1" s="24" t="s">
        <v>373</v>
      </c>
      <c r="D1" s="24" t="s">
        <v>371</v>
      </c>
      <c r="E1" s="24" t="s">
        <v>372</v>
      </c>
    </row>
    <row r="2" spans="1:5">
      <c r="A2" s="17" t="s">
        <v>311</v>
      </c>
      <c r="B2" s="20">
        <v>44</v>
      </c>
      <c r="C2" s="19">
        <f>Efectivos!F20</f>
        <v>23</v>
      </c>
      <c r="D2" s="20" t="e">
        <f>_xlfn.XLOOKUP(A2,Visitas_Operaciones!$AR:$AR,Visitas_Operaciones!$AP:$AP)</f>
        <v>#N/A</v>
      </c>
      <c r="E2" s="22">
        <f>C2/B2</f>
        <v>0.52272727272727271</v>
      </c>
    </row>
    <row r="3" spans="1:5">
      <c r="A3" s="17" t="s">
        <v>312</v>
      </c>
      <c r="B3" s="20">
        <v>44</v>
      </c>
      <c r="C3" s="19">
        <f>Efectivos!G20</f>
        <v>6</v>
      </c>
      <c r="D3" s="20" t="e">
        <f>_xlfn.XLOOKUP(A3,Visitas_Operaciones!$AR:$AR,Visitas_Operaciones!$AP:$AP)</f>
        <v>#N/A</v>
      </c>
      <c r="E3" s="22">
        <f t="shared" ref="E3:E5" si="0">C3/B3</f>
        <v>0.13636363636363635</v>
      </c>
    </row>
    <row r="4" spans="1:5">
      <c r="A4" s="17" t="s">
        <v>313</v>
      </c>
      <c r="B4" s="20">
        <v>44</v>
      </c>
      <c r="C4" s="19">
        <v>14</v>
      </c>
      <c r="D4" s="20" t="e">
        <f>_xlfn.XLOOKUP(A4,Visitas_Operaciones!$AR:$AR,Visitas_Operaciones!$AP:$AP)</f>
        <v>#N/A</v>
      </c>
      <c r="E4" s="22">
        <f t="shared" si="0"/>
        <v>0.31818181818181818</v>
      </c>
    </row>
    <row r="5" spans="1:5">
      <c r="A5" s="17" t="s">
        <v>305</v>
      </c>
      <c r="B5" s="20">
        <v>44</v>
      </c>
      <c r="C5" s="19">
        <v>11</v>
      </c>
      <c r="D5" s="20" t="e">
        <f>_xlfn.XLOOKUP(A5,Visitas_Operaciones!$AR:$AR,Visitas_Operaciones!$AP:$AP)</f>
        <v>#N/A</v>
      </c>
      <c r="E5" s="22">
        <f t="shared" si="0"/>
        <v>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5" t="s">
        <v>374</v>
      </c>
      <c r="C1" s="15" t="s">
        <v>375</v>
      </c>
      <c r="D1" s="15" t="s">
        <v>376</v>
      </c>
    </row>
    <row r="2" spans="1:4">
      <c r="A2" t="s">
        <v>377</v>
      </c>
      <c r="B2" s="15">
        <v>33</v>
      </c>
      <c r="C2" s="15">
        <v>26</v>
      </c>
      <c r="D2" s="15">
        <v>2</v>
      </c>
    </row>
    <row r="3" spans="1:4">
      <c r="A3" t="s">
        <v>306</v>
      </c>
      <c r="B3" s="15">
        <v>10</v>
      </c>
      <c r="C3" s="15">
        <v>8</v>
      </c>
      <c r="D3" s="15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367</v>
      </c>
      <c r="B1" s="7" t="s">
        <v>6</v>
      </c>
      <c r="C1" s="7" t="s">
        <v>378</v>
      </c>
      <c r="D1" s="7" t="s">
        <v>379</v>
      </c>
      <c r="E1" s="7" t="s">
        <v>380</v>
      </c>
      <c r="F1" s="7" t="s">
        <v>381</v>
      </c>
      <c r="G1" s="7" t="s">
        <v>382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383</v>
      </c>
      <c r="E2" s="5" t="s">
        <v>384</v>
      </c>
      <c r="F2" s="6" t="s">
        <v>385</v>
      </c>
      <c r="G2" s="6" t="s">
        <v>386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387</v>
      </c>
      <c r="E3" s="4" t="s">
        <v>388</v>
      </c>
      <c r="F3" s="3" t="s">
        <v>389</v>
      </c>
      <c r="G3" s="3" t="s">
        <v>390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391</v>
      </c>
      <c r="E4" s="5" t="s">
        <v>388</v>
      </c>
      <c r="F4" s="6" t="s">
        <v>392</v>
      </c>
      <c r="G4" s="6" t="s">
        <v>390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393</v>
      </c>
      <c r="E5" s="4" t="s">
        <v>394</v>
      </c>
      <c r="F5" s="3" t="s">
        <v>395</v>
      </c>
      <c r="G5" s="3" t="s">
        <v>396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397</v>
      </c>
      <c r="E6" s="5" t="s">
        <v>398</v>
      </c>
      <c r="F6" s="6" t="s">
        <v>399</v>
      </c>
      <c r="G6" s="6" t="s">
        <v>396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400</v>
      </c>
      <c r="E7" s="4" t="s">
        <v>394</v>
      </c>
      <c r="F7" s="3" t="s">
        <v>401</v>
      </c>
      <c r="G7" s="3" t="s">
        <v>386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402</v>
      </c>
      <c r="E8" s="5" t="s">
        <v>388</v>
      </c>
      <c r="F8" s="6" t="s">
        <v>403</v>
      </c>
      <c r="G8" s="6" t="s">
        <v>390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404</v>
      </c>
      <c r="E9" s="4" t="s">
        <v>388</v>
      </c>
      <c r="F9" s="3" t="s">
        <v>405</v>
      </c>
      <c r="G9" s="3" t="s">
        <v>390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406</v>
      </c>
      <c r="E10" s="5" t="s">
        <v>388</v>
      </c>
      <c r="F10" s="6" t="s">
        <v>407</v>
      </c>
      <c r="G10" s="6" t="s">
        <v>390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408</v>
      </c>
      <c r="E11" s="4" t="s">
        <v>409</v>
      </c>
      <c r="F11" s="3" t="s">
        <v>410</v>
      </c>
      <c r="G11" s="3" t="s">
        <v>386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411</v>
      </c>
      <c r="E12" s="5" t="s">
        <v>394</v>
      </c>
      <c r="F12" s="6" t="s">
        <v>412</v>
      </c>
      <c r="G12" s="6" t="s">
        <v>386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413</v>
      </c>
      <c r="E13" s="4" t="s">
        <v>388</v>
      </c>
      <c r="F13" s="3" t="s">
        <v>414</v>
      </c>
      <c r="G13" s="3" t="s">
        <v>390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415</v>
      </c>
      <c r="E14" s="5" t="s">
        <v>388</v>
      </c>
      <c r="F14" s="6" t="s">
        <v>416</v>
      </c>
      <c r="G14" s="6" t="s">
        <v>390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417</v>
      </c>
      <c r="E15" s="4" t="s">
        <v>388</v>
      </c>
      <c r="F15" s="3" t="s">
        <v>418</v>
      </c>
      <c r="G15" s="3" t="s">
        <v>390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419</v>
      </c>
      <c r="E16" s="5" t="s">
        <v>388</v>
      </c>
      <c r="F16" s="6" t="s">
        <v>420</v>
      </c>
      <c r="G16" s="6" t="s">
        <v>390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421</v>
      </c>
      <c r="E17" s="4" t="s">
        <v>388</v>
      </c>
      <c r="F17" s="3" t="s">
        <v>422</v>
      </c>
      <c r="G17" s="3" t="s">
        <v>386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423</v>
      </c>
      <c r="E18" s="5" t="s">
        <v>394</v>
      </c>
      <c r="F18" s="6" t="s">
        <v>424</v>
      </c>
      <c r="G18" s="6" t="s">
        <v>386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425</v>
      </c>
      <c r="E19" s="4" t="s">
        <v>394</v>
      </c>
      <c r="F19" s="3" t="s">
        <v>385</v>
      </c>
      <c r="G19" s="3" t="s">
        <v>386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426</v>
      </c>
      <c r="E20" s="5" t="s">
        <v>388</v>
      </c>
      <c r="F20" s="6" t="s">
        <v>389</v>
      </c>
      <c r="G20" s="6" t="s">
        <v>390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427</v>
      </c>
      <c r="E21" s="4" t="s">
        <v>388</v>
      </c>
      <c r="F21" s="3" t="s">
        <v>392</v>
      </c>
      <c r="G21" s="3" t="s">
        <v>390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428</v>
      </c>
      <c r="E22" s="5" t="s">
        <v>394</v>
      </c>
      <c r="F22" s="6" t="s">
        <v>395</v>
      </c>
      <c r="G22" s="6" t="s">
        <v>396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429</v>
      </c>
      <c r="E23" s="4" t="s">
        <v>398</v>
      </c>
      <c r="F23" s="3" t="s">
        <v>399</v>
      </c>
      <c r="G23" s="3" t="s">
        <v>396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430</v>
      </c>
      <c r="E24" s="5" t="s">
        <v>398</v>
      </c>
      <c r="F24" s="6" t="s">
        <v>401</v>
      </c>
      <c r="G24" s="6" t="s">
        <v>386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431</v>
      </c>
      <c r="E25" s="4" t="s">
        <v>388</v>
      </c>
      <c r="F25" s="3" t="s">
        <v>432</v>
      </c>
      <c r="G25" s="3" t="s">
        <v>390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433</v>
      </c>
      <c r="E26" s="5" t="s">
        <v>388</v>
      </c>
      <c r="F26" s="6" t="s">
        <v>405</v>
      </c>
      <c r="G26" s="6" t="s">
        <v>390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434</v>
      </c>
      <c r="E27" s="4" t="s">
        <v>388</v>
      </c>
      <c r="F27" s="3" t="s">
        <v>435</v>
      </c>
      <c r="G27" s="3" t="s">
        <v>390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436</v>
      </c>
      <c r="E28" s="5" t="s">
        <v>388</v>
      </c>
      <c r="F28" s="6" t="s">
        <v>437</v>
      </c>
      <c r="G28" s="6" t="s">
        <v>390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438</v>
      </c>
      <c r="E29" s="4" t="s">
        <v>394</v>
      </c>
      <c r="F29" s="3" t="s">
        <v>439</v>
      </c>
      <c r="G29" s="3" t="s">
        <v>440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441</v>
      </c>
      <c r="E30" s="5" t="s">
        <v>388</v>
      </c>
      <c r="F30" s="6" t="s">
        <v>410</v>
      </c>
      <c r="G30" s="6" t="s">
        <v>386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442</v>
      </c>
      <c r="E31" s="4" t="s">
        <v>398</v>
      </c>
      <c r="F31" s="3" t="s">
        <v>412</v>
      </c>
      <c r="G31" s="3" t="s">
        <v>386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443</v>
      </c>
      <c r="E32" s="5" t="s">
        <v>388</v>
      </c>
      <c r="F32" s="6" t="s">
        <v>414</v>
      </c>
      <c r="G32" s="6" t="s">
        <v>390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444</v>
      </c>
      <c r="E33" s="4" t="s">
        <v>388</v>
      </c>
      <c r="F33" s="3" t="s">
        <v>416</v>
      </c>
      <c r="G33" s="3" t="s">
        <v>390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445</v>
      </c>
      <c r="E34" s="5" t="s">
        <v>388</v>
      </c>
      <c r="F34" s="6" t="s">
        <v>418</v>
      </c>
      <c r="G34" s="6" t="s">
        <v>390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446</v>
      </c>
      <c r="E35" s="4" t="s">
        <v>388</v>
      </c>
      <c r="F35" s="3" t="s">
        <v>420</v>
      </c>
      <c r="G35" s="3" t="s">
        <v>390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447</v>
      </c>
      <c r="E36" s="5" t="s">
        <v>448</v>
      </c>
      <c r="F36" s="6" t="s">
        <v>422</v>
      </c>
      <c r="G36" s="6" t="s">
        <v>386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449</v>
      </c>
      <c r="E37" s="4" t="s">
        <v>398</v>
      </c>
      <c r="F37" s="3" t="s">
        <v>424</v>
      </c>
      <c r="G37" s="3" t="s">
        <v>386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2026-07-24T15:57:04Z</dcterms:modified>
  <cp:category/>
  <cp:contentStatus/>
</cp:coreProperties>
</file>