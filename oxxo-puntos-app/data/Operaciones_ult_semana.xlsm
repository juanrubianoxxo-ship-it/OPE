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Metadata/LabelInfo.xml" ContentType="application/vnd.ms-office.classificationlabels+xml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17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femcom-my.sharepoint.com/personal/pra_inteligencia2_oxxo_com/Documents/Visitas Expansión UNETE/"/>
    </mc:Choice>
  </mc:AlternateContent>
  <xr:revisionPtr revIDLastSave="0" documentId="8_{18583F81-0987-40CA-89BE-1A0D3F24B9BE}" xr6:coauthVersionLast="47" xr6:coauthVersionMax="47" xr10:uidLastSave="{00000000-0000-0000-0000-000000000000}"/>
  <bookViews>
    <workbookView xWindow="-110" yWindow="-110" windowWidth="19420" windowHeight="11500" xr2:uid="{1B7F6A43-E552-48EB-845D-F16C083DE54D}"/>
  </bookViews>
  <sheets>
    <sheet name="Visitas_Operaciones" sheetId="2" r:id="rId1"/>
    <sheet name="Hoja4" sheetId="17" r:id="rId2"/>
    <sheet name="Listas" sheetId="28" r:id="rId3"/>
    <sheet name="JEFE REGIONAL" sheetId="18" r:id="rId4"/>
    <sheet name="Resumen operaciones" sheetId="16" r:id="rId5"/>
    <sheet name="Metas_Generales" sheetId="9" state="hidden" r:id="rId6"/>
    <sheet name="Hoja1" sheetId="8" state="hidden" r:id="rId7"/>
    <sheet name="Hoja2" sheetId="13" state="hidden" r:id="rId8"/>
    <sheet name="Festivos Colombia 2025-2026" sheetId="5" state="hidden" r:id="rId9"/>
  </sheets>
  <definedNames>
    <definedName name="_xlnm._FilterDatabase" localSheetId="1" hidden="1">Hoja4!$A$22:$B$37</definedName>
    <definedName name="_xlnm._FilterDatabase" localSheetId="4" hidden="1">'Resumen operaciones'!$A$1:$C$15</definedName>
    <definedName name="_xlnm._FilterDatabase" localSheetId="0" hidden="1">Visitas_Operaciones!$A$1:$AL$98</definedName>
    <definedName name="_xleta.AND" hidden="1" xlm="1">#NAME?</definedName>
    <definedName name="_xleta.MONTH" hidden="1" xlm="1">#NAME?</definedName>
    <definedName name="_xleta.SUM" hidden="1" xlm="1">#NAME?</definedName>
  </definedNames>
  <calcPr calcId="191028"/>
  <pivotCaches>
    <pivotCache cacheId="70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10" i="2" l="1"/>
  <c r="X110" i="2"/>
  <c r="Y110" i="2"/>
  <c r="Z110" i="2"/>
  <c r="W111" i="2"/>
  <c r="X111" i="2"/>
  <c r="Y111" i="2"/>
  <c r="Z111" i="2"/>
  <c r="W112" i="2"/>
  <c r="X112" i="2"/>
  <c r="Y112" i="2"/>
  <c r="Z112" i="2"/>
  <c r="W113" i="2"/>
  <c r="Z113" i="2" s="1"/>
  <c r="X113" i="2"/>
  <c r="Y113" i="2"/>
  <c r="W114" i="2"/>
  <c r="X114" i="2"/>
  <c r="Y114" i="2"/>
  <c r="Z114" i="2"/>
  <c r="AH110" i="2" a="1"/>
  <c r="W109" i="2"/>
  <c r="Z109" i="2" s="1"/>
  <c r="X109" i="2"/>
  <c r="Y109" i="2"/>
  <c r="W102" i="2"/>
  <c r="Z102" i="2" s="1"/>
  <c r="X102" i="2"/>
  <c r="Y102" i="2"/>
  <c r="W103" i="2"/>
  <c r="Z103" i="2" s="1"/>
  <c r="X103" i="2"/>
  <c r="Y103" i="2"/>
  <c r="W104" i="2"/>
  <c r="Z104" i="2" s="1"/>
  <c r="X104" i="2"/>
  <c r="Y104" i="2"/>
  <c r="W105" i="2"/>
  <c r="Z105" i="2" s="1"/>
  <c r="X105" i="2"/>
  <c r="Y105" i="2"/>
  <c r="W106" i="2"/>
  <c r="X106" i="2"/>
  <c r="Y106" i="2"/>
  <c r="Z106" i="2"/>
  <c r="W107" i="2"/>
  <c r="X107" i="2"/>
  <c r="Y107" i="2"/>
  <c r="W108" i="2"/>
  <c r="X108" i="2"/>
  <c r="Y108" i="2"/>
  <c r="W101" i="2"/>
  <c r="X101" i="2"/>
  <c r="Y101" i="2"/>
  <c r="W98" i="2"/>
  <c r="X98" i="2"/>
  <c r="Y98" i="2"/>
  <c r="W67" i="2"/>
  <c r="X67" i="2"/>
  <c r="Y67" i="2"/>
  <c r="W68" i="2"/>
  <c r="X68" i="2"/>
  <c r="Y68" i="2"/>
  <c r="W69" i="2"/>
  <c r="X69" i="2"/>
  <c r="Y69" i="2"/>
  <c r="W70" i="2"/>
  <c r="X70" i="2"/>
  <c r="Y70" i="2"/>
  <c r="W71" i="2"/>
  <c r="X71" i="2"/>
  <c r="Y71" i="2"/>
  <c r="W72" i="2"/>
  <c r="X72" i="2"/>
  <c r="Y72" i="2"/>
  <c r="W73" i="2"/>
  <c r="X73" i="2"/>
  <c r="Y73" i="2"/>
  <c r="W74" i="2"/>
  <c r="X74" i="2"/>
  <c r="Y74" i="2"/>
  <c r="W75" i="2"/>
  <c r="X75" i="2"/>
  <c r="Y75" i="2"/>
  <c r="W76" i="2"/>
  <c r="X76" i="2"/>
  <c r="Y76" i="2"/>
  <c r="W77" i="2"/>
  <c r="X77" i="2"/>
  <c r="Y77" i="2"/>
  <c r="W78" i="2"/>
  <c r="X78" i="2"/>
  <c r="Y78" i="2"/>
  <c r="W79" i="2"/>
  <c r="X79" i="2"/>
  <c r="Y79" i="2"/>
  <c r="W80" i="2"/>
  <c r="X80" i="2"/>
  <c r="Y80" i="2"/>
  <c r="W81" i="2"/>
  <c r="X81" i="2"/>
  <c r="Y81" i="2"/>
  <c r="W82" i="2"/>
  <c r="X82" i="2"/>
  <c r="Y82" i="2"/>
  <c r="W83" i="2"/>
  <c r="X83" i="2"/>
  <c r="Y83" i="2"/>
  <c r="W84" i="2"/>
  <c r="X84" i="2"/>
  <c r="Y84" i="2"/>
  <c r="W85" i="2"/>
  <c r="X85" i="2"/>
  <c r="Y85" i="2"/>
  <c r="W86" i="2"/>
  <c r="X86" i="2"/>
  <c r="Y86" i="2"/>
  <c r="W87" i="2"/>
  <c r="X87" i="2"/>
  <c r="Y87" i="2"/>
  <c r="W88" i="2"/>
  <c r="X88" i="2"/>
  <c r="Y88" i="2"/>
  <c r="W89" i="2"/>
  <c r="X89" i="2"/>
  <c r="Y89" i="2"/>
  <c r="W99" i="2"/>
  <c r="X99" i="2"/>
  <c r="Y99" i="2"/>
  <c r="W90" i="2"/>
  <c r="X90" i="2"/>
  <c r="Y90" i="2"/>
  <c r="W91" i="2"/>
  <c r="X91" i="2"/>
  <c r="Y91" i="2"/>
  <c r="W92" i="2"/>
  <c r="Z92" i="2" s="1"/>
  <c r="X92" i="2"/>
  <c r="Y92" i="2"/>
  <c r="W93" i="2"/>
  <c r="Z93" i="2" s="1"/>
  <c r="X93" i="2"/>
  <c r="Y93" i="2"/>
  <c r="W94" i="2"/>
  <c r="X94" i="2"/>
  <c r="Y94" i="2"/>
  <c r="W95" i="2"/>
  <c r="X95" i="2"/>
  <c r="Y95" i="2"/>
  <c r="W96" i="2"/>
  <c r="X96" i="2"/>
  <c r="Y96" i="2"/>
  <c r="W97" i="2"/>
  <c r="X97" i="2"/>
  <c r="Y97" i="2"/>
  <c r="W100" i="2"/>
  <c r="X100" i="2"/>
  <c r="Y100" i="2"/>
  <c r="W32" i="2"/>
  <c r="X32" i="2"/>
  <c r="Y32" i="2"/>
  <c r="W33" i="2"/>
  <c r="X33" i="2"/>
  <c r="Y33" i="2"/>
  <c r="W34" i="2"/>
  <c r="X34" i="2"/>
  <c r="Y34" i="2"/>
  <c r="W35" i="2"/>
  <c r="X35" i="2"/>
  <c r="Y35" i="2"/>
  <c r="W36" i="2"/>
  <c r="X36" i="2"/>
  <c r="Y36" i="2"/>
  <c r="W37" i="2"/>
  <c r="X37" i="2"/>
  <c r="Y37" i="2"/>
  <c r="W38" i="2"/>
  <c r="X38" i="2"/>
  <c r="Y38" i="2"/>
  <c r="W39" i="2"/>
  <c r="Z39" i="2" s="1"/>
  <c r="X39" i="2"/>
  <c r="Y39" i="2"/>
  <c r="W40" i="2"/>
  <c r="X40" i="2"/>
  <c r="Y40" i="2"/>
  <c r="W41" i="2"/>
  <c r="X41" i="2"/>
  <c r="Y41" i="2"/>
  <c r="W42" i="2"/>
  <c r="X42" i="2"/>
  <c r="Y42" i="2"/>
  <c r="W43" i="2"/>
  <c r="X43" i="2"/>
  <c r="Y43" i="2"/>
  <c r="W44" i="2"/>
  <c r="X44" i="2"/>
  <c r="Y44" i="2"/>
  <c r="W45" i="2"/>
  <c r="X45" i="2"/>
  <c r="Y45" i="2"/>
  <c r="W46" i="2"/>
  <c r="X46" i="2"/>
  <c r="Y46" i="2"/>
  <c r="W47" i="2"/>
  <c r="X47" i="2"/>
  <c r="Y47" i="2"/>
  <c r="W48" i="2"/>
  <c r="X48" i="2"/>
  <c r="Y48" i="2"/>
  <c r="W49" i="2"/>
  <c r="X49" i="2"/>
  <c r="Y49" i="2"/>
  <c r="W50" i="2"/>
  <c r="X50" i="2"/>
  <c r="Y50" i="2"/>
  <c r="W51" i="2"/>
  <c r="X51" i="2"/>
  <c r="Y51" i="2"/>
  <c r="W52" i="2"/>
  <c r="X52" i="2"/>
  <c r="Y52" i="2"/>
  <c r="W53" i="2"/>
  <c r="X53" i="2"/>
  <c r="Y53" i="2"/>
  <c r="W54" i="2"/>
  <c r="X54" i="2"/>
  <c r="Y54" i="2"/>
  <c r="W55" i="2"/>
  <c r="X55" i="2"/>
  <c r="Y55" i="2"/>
  <c r="W56" i="2"/>
  <c r="X56" i="2"/>
  <c r="Y56" i="2"/>
  <c r="W57" i="2"/>
  <c r="X57" i="2"/>
  <c r="Y57" i="2"/>
  <c r="W58" i="2"/>
  <c r="X58" i="2"/>
  <c r="Y58" i="2"/>
  <c r="W59" i="2"/>
  <c r="X59" i="2"/>
  <c r="Y59" i="2"/>
  <c r="W60" i="2"/>
  <c r="X60" i="2"/>
  <c r="Y60" i="2"/>
  <c r="W61" i="2"/>
  <c r="X61" i="2"/>
  <c r="Y61" i="2"/>
  <c r="W62" i="2"/>
  <c r="X62" i="2"/>
  <c r="Y62" i="2"/>
  <c r="W63" i="2"/>
  <c r="X63" i="2"/>
  <c r="Y63" i="2"/>
  <c r="W64" i="2"/>
  <c r="X64" i="2"/>
  <c r="Y64" i="2"/>
  <c r="W65" i="2"/>
  <c r="X65" i="2"/>
  <c r="Y65" i="2"/>
  <c r="W66" i="2"/>
  <c r="X66" i="2"/>
  <c r="Y66" i="2"/>
  <c r="B18" i="16"/>
  <c r="A18" i="16" a="1"/>
  <c r="W2" i="2"/>
  <c r="X2" i="2"/>
  <c r="Y2" i="2"/>
  <c r="W3" i="2"/>
  <c r="X3" i="2"/>
  <c r="Y3" i="2"/>
  <c r="W4" i="2"/>
  <c r="X4" i="2"/>
  <c r="Y4" i="2"/>
  <c r="W5" i="2"/>
  <c r="X5" i="2"/>
  <c r="Y5" i="2"/>
  <c r="W6" i="2"/>
  <c r="X6" i="2"/>
  <c r="Y6" i="2"/>
  <c r="W7" i="2"/>
  <c r="X7" i="2"/>
  <c r="Y7" i="2"/>
  <c r="W8" i="2"/>
  <c r="X8" i="2"/>
  <c r="Y8" i="2"/>
  <c r="W9" i="2"/>
  <c r="X9" i="2"/>
  <c r="Y9" i="2"/>
  <c r="W10" i="2"/>
  <c r="X10" i="2"/>
  <c r="Y10" i="2"/>
  <c r="W11" i="2"/>
  <c r="X11" i="2"/>
  <c r="Y11" i="2"/>
  <c r="W12" i="2"/>
  <c r="X12" i="2"/>
  <c r="Y12" i="2"/>
  <c r="W13" i="2"/>
  <c r="X13" i="2"/>
  <c r="Y13" i="2"/>
  <c r="W14" i="2"/>
  <c r="X14" i="2"/>
  <c r="Y14" i="2"/>
  <c r="W15" i="2"/>
  <c r="X15" i="2"/>
  <c r="Y15" i="2"/>
  <c r="W16" i="2"/>
  <c r="X16" i="2"/>
  <c r="Y16" i="2"/>
  <c r="W17" i="2"/>
  <c r="X17" i="2"/>
  <c r="Y17" i="2"/>
  <c r="W18" i="2"/>
  <c r="X18" i="2"/>
  <c r="Y18" i="2"/>
  <c r="W19" i="2"/>
  <c r="X19" i="2"/>
  <c r="Y19" i="2"/>
  <c r="W20" i="2"/>
  <c r="X20" i="2"/>
  <c r="Y20" i="2"/>
  <c r="W21" i="2"/>
  <c r="X21" i="2"/>
  <c r="Y21" i="2"/>
  <c r="W22" i="2"/>
  <c r="X22" i="2"/>
  <c r="Y22" i="2"/>
  <c r="W23" i="2"/>
  <c r="X23" i="2"/>
  <c r="Y23" i="2"/>
  <c r="W24" i="2"/>
  <c r="X24" i="2"/>
  <c r="Y24" i="2"/>
  <c r="W25" i="2"/>
  <c r="X25" i="2"/>
  <c r="Y25" i="2"/>
  <c r="W26" i="2"/>
  <c r="X26" i="2"/>
  <c r="Y26" i="2"/>
  <c r="W27" i="2"/>
  <c r="X27" i="2"/>
  <c r="Y27" i="2"/>
  <c r="W28" i="2"/>
  <c r="X28" i="2"/>
  <c r="Y28" i="2"/>
  <c r="W29" i="2"/>
  <c r="X29" i="2"/>
  <c r="Y29" i="2"/>
  <c r="W30" i="2"/>
  <c r="X30" i="2"/>
  <c r="Y30" i="2"/>
  <c r="W31" i="2"/>
  <c r="X31" i="2"/>
  <c r="Y31" i="2"/>
  <c r="V4" i="8" a="1"/>
  <c r="V3" i="8" a="1"/>
  <c r="V2" i="8" a="1"/>
  <c r="V1" i="8" a="1"/>
  <c r="C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Z101" i="2" l="1"/>
  <c r="Z41" i="2"/>
  <c r="Z107" i="2"/>
  <c r="Z108" i="2"/>
  <c r="Z89" i="2"/>
  <c r="Z98" i="2"/>
  <c r="Z54" i="2"/>
  <c r="Z81" i="2"/>
  <c r="Z52" i="2"/>
  <c r="Z90" i="2"/>
  <c r="Z84" i="2"/>
  <c r="Z85" i="2"/>
  <c r="Z36" i="2"/>
  <c r="Z94" i="2"/>
  <c r="Z96" i="2"/>
  <c r="Z97" i="2"/>
  <c r="Z79" i="2"/>
  <c r="Z82" i="2"/>
  <c r="Z49" i="2"/>
  <c r="Z100" i="2"/>
  <c r="Z83" i="2"/>
  <c r="Z67" i="2"/>
  <c r="Z68" i="2"/>
  <c r="Z73" i="2"/>
  <c r="Z75" i="2"/>
  <c r="Z76" i="2"/>
  <c r="Z77" i="2"/>
  <c r="Z78" i="2"/>
  <c r="Z80" i="2"/>
  <c r="Z86" i="2"/>
  <c r="Z71" i="2"/>
  <c r="Z69" i="2"/>
  <c r="Z70" i="2"/>
  <c r="Z74" i="2"/>
  <c r="Z88" i="2"/>
  <c r="Z72" i="2"/>
  <c r="Z87" i="2"/>
  <c r="Z91" i="2"/>
  <c r="Z99" i="2"/>
  <c r="Z32" i="2"/>
  <c r="Z95" i="2"/>
  <c r="Z45" i="2"/>
  <c r="Z11" i="2"/>
  <c r="Z24" i="2"/>
  <c r="Z18" i="2"/>
  <c r="Z56" i="2"/>
  <c r="Z25" i="2"/>
  <c r="Z42" i="2"/>
  <c r="Z28" i="2"/>
  <c r="Z58" i="2"/>
  <c r="Z43" i="2"/>
  <c r="Z44" i="2"/>
  <c r="Z46" i="2"/>
  <c r="Z48" i="2"/>
  <c r="Z51" i="2"/>
  <c r="Z53" i="2"/>
  <c r="Z57" i="2"/>
  <c r="Z61" i="2"/>
  <c r="Z63" i="2"/>
  <c r="Z65" i="2"/>
  <c r="Z33" i="2"/>
  <c r="Z34" i="2"/>
  <c r="Z35" i="2"/>
  <c r="Z37" i="2"/>
  <c r="Z38" i="2"/>
  <c r="Z40" i="2"/>
  <c r="Z47" i="2"/>
  <c r="Z50" i="2"/>
  <c r="Z55" i="2"/>
  <c r="Z59" i="2"/>
  <c r="Z60" i="2"/>
  <c r="Z62" i="2"/>
  <c r="Z64" i="2"/>
  <c r="Z66" i="2"/>
  <c r="Z21" i="2"/>
  <c r="Z26" i="2"/>
  <c r="Z5" i="2"/>
  <c r="Z17" i="2"/>
  <c r="Z19" i="2"/>
  <c r="Z23" i="2"/>
  <c r="Z15" i="2"/>
  <c r="Z2" i="2"/>
  <c r="Z10" i="2"/>
  <c r="Z16" i="2"/>
  <c r="Z22" i="2"/>
  <c r="Z14" i="2"/>
  <c r="Z29" i="2"/>
  <c r="Z3" i="2"/>
  <c r="Z6" i="2"/>
  <c r="Z7" i="2"/>
  <c r="Z8" i="2"/>
  <c r="Z12" i="2"/>
  <c r="Z13" i="2"/>
  <c r="Z27" i="2"/>
  <c r="Z30" i="2"/>
  <c r="Z9" i="2"/>
  <c r="Z4" i="2"/>
  <c r="Z20" i="2"/>
  <c r="V4" i="8"/>
  <c r="V3" i="8"/>
  <c r="V2" i="8"/>
  <c r="V1" i="8"/>
  <c r="A18" i="16"/>
  <c r="AH110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E1A4EC-7475-4AB3-8AA2-B999C464E16A}" keepAlive="1" name="Consulta - Expansion_2026-01-26-07 20" description="Conexión a la consulta 'Expansion_2026-01-26-07 20' en el libro." type="5" refreshedVersion="0" background="1" saveData="1">
    <dbPr connection="Provider=Microsoft.Mashup.OleDb.1;Data Source=$Workbook$;Location=&quot;Expansion_2026-01-26-07 20&quot;;Extended Properties=&quot;&quot;" command="SELECT * FROM [Expansion_2026-01-26-07 20]"/>
  </connection>
  <connection id="2" xr16:uid="{61BFA73B-25F3-4380-91D4-D666826F64B8}" keepAlive="1" name="Consulta - Expansion_2026-01-27-07 20" description="Conexión a la consulta 'Expansion_2026-01-27-07 20' en el libro." type="5" refreshedVersion="0" background="1" saveData="1">
    <dbPr connection="Provider=Microsoft.Mashup.OleDb.1;Data Source=$Workbook$;Location=&quot;Expansion_2026-01-27-07 20&quot;;Extended Properties=&quot;&quot;" command="SELECT * FROM [Expansion_2026-01-27-07 20]"/>
  </connection>
  <connection id="3" xr16:uid="{86398B3A-6082-4CE0-8863-6AD897CDBBB1}" keepAlive="1" name="Consulta - in" description="Conexión a la consulta 'in' en el libro." type="5" refreshedVersion="0" background="1">
    <dbPr connection="Provider=Microsoft.Mashup.OleDb.1;Data Source=$Workbook$;Location=in;Extended Properties=&quot;&quot;" command="SELECT * FROM [in]"/>
  </connection>
  <connection id="4" xr16:uid="{A7F2FACA-EDD9-469F-A7E6-EEDF39A7CD74}" keepAlive="1" name="Consulta - in (2)" description="Conexión a la consulta 'in (2)' en el libro." type="5" refreshedVersion="0" background="1" saveData="1">
    <dbPr connection="Provider=Microsoft.Mashup.OleDb.1;Data Source=$Workbook$;Location=&quot;in (2)&quot;;Extended Properties=&quot;&quot;" command="SELECT * FROM [in (2)]"/>
  </connection>
  <connection id="5" xr16:uid="{11850D83-2A86-4F01-B916-BD41C32897FC}" keepAlive="1" name="Consulta - in (3)" description="Conexión a la consulta 'in (3)' en el libro." type="5" refreshedVersion="8" background="1" saveData="1">
    <dbPr connection="Provider=Microsoft.Mashup.OleDb.1;Data Source=$Workbook$;Location=&quot;in (3)&quot;;Extended Properties=&quot;&quot;" command="SELECT * FROM [in (3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<sst xmlns="http://schemas.openxmlformats.org/spreadsheetml/2006/main" count="2517" uniqueCount="941">
  <si>
    <t>ID</t>
  </si>
  <si>
    <t>Jefe de zona</t>
  </si>
  <si>
    <t>Correo</t>
  </si>
  <si>
    <t>Fecha de inicio</t>
  </si>
  <si>
    <t>Fecha de envío</t>
  </si>
  <si>
    <t>Hora</t>
  </si>
  <si>
    <t>Año</t>
  </si>
  <si>
    <t>Mes</t>
  </si>
  <si>
    <t>Estado</t>
  </si>
  <si>
    <t xml:space="preserve">Nombre del Punto </t>
  </si>
  <si>
    <t>Cambio de nombre (Si Aplica)</t>
  </si>
  <si>
    <t>Región</t>
  </si>
  <si>
    <t>Plaza</t>
  </si>
  <si>
    <t>Dirección</t>
  </si>
  <si>
    <t>Regional</t>
  </si>
  <si>
    <t>Enlace de la ubicación en Google Maps</t>
  </si>
  <si>
    <t>Segmento de tienda aproximado</t>
  </si>
  <si>
    <t>Tienda de local</t>
  </si>
  <si>
    <t>Principal característica de la ubicación</t>
  </si>
  <si>
    <t>Contacto del Propietario (Teléfono)</t>
  </si>
  <si>
    <t>Contacto del Propietario (Correo Electronico)</t>
  </si>
  <si>
    <t>Fotos del Local Revisado</t>
  </si>
  <si>
    <t>Semana</t>
  </si>
  <si>
    <t>Sem-Año</t>
  </si>
  <si>
    <t>Estado Growth</t>
  </si>
  <si>
    <t>Y</t>
  </si>
  <si>
    <t>X</t>
  </si>
  <si>
    <t>Comentarios</t>
  </si>
  <si>
    <t>Seguimiento Regional</t>
  </si>
  <si>
    <t>Razon de descarte</t>
  </si>
  <si>
    <t>Gestor asignado</t>
  </si>
  <si>
    <t xml:space="preserve">Especialista asignado </t>
  </si>
  <si>
    <t>Fecha asignación especialista</t>
  </si>
  <si>
    <t>Fecha contacto especialista</t>
  </si>
  <si>
    <t>Comentarios expansión</t>
  </si>
  <si>
    <t>SANDRA PADILLA</t>
  </si>
  <si>
    <t>sandra.padilla@oxxo.com</t>
  </si>
  <si>
    <t>14/07/2026</t>
  </si>
  <si>
    <t>08:19</t>
  </si>
  <si>
    <t>07</t>
  </si>
  <si>
    <t>Enviado</t>
  </si>
  <si>
    <t>Centro comercial cañaveral</t>
  </si>
  <si>
    <t>Nororiente</t>
  </si>
  <si>
    <t>Oriente</t>
  </si>
  <si>
    <t>Calle 30 # 30-04 centro comercial cañaveral</t>
  </si>
  <si>
    <t>https://www.bing.com/maps/search?mepi=0%7ERetail%7EEmbedded%7EEntity_Vertical_List_Card&amp;ty=17&amp;poicount=18&amp;sei=0&amp;FORM=MPSRPL&amp;q=centro+comercial+ca%C3%B1averal+ubicacion+maps&amp;secq=Entrada+Principal+-+Centro+Comercial+Ca%C3%B1averal+centro+comercial+canaveral&amp;sece=ypid.YN7758855A916B70D8&amp;ppois=7.0705718994140625_-73.10617065429688_Entrada+Principal+-+Centro+Comercial+Ca%C3%B1averal_YN7758855A916B70D8%7E7.071527481079102_-73.10704040527344_Entrada+Secundaria+-+Centro+Comercial+Ca%C3%B1averal_YNC4544A33189FF34C%7E&amp;segment=Retail&amp;cp=7.070572%7E-73.106171&amp;lvl=11&amp;style=r</t>
  </si>
  <si>
    <t>Base</t>
  </si>
  <si>
    <t>Esquinero</t>
  </si>
  <si>
    <t>Zona Comercial</t>
  </si>
  <si>
    <t>Es local ubicado en centro comercial cañaveral. Esquinero está diagonal a Juan Valdez. 
Debe ser inmobiliaria pero no aparece nombre solo teléfono para llamar
3007751069</t>
  </si>
  <si>
    <t>Foto: https://oxxo-colombia.oneapp.cl/static/img/Respuesta/62607815/d9df2c1a2055b05c09ecf99840d4672a.jpg</t>
  </si>
  <si>
    <t>Subido</t>
  </si>
  <si>
    <t>Punto potencial fue mal subido en la plataforma, se registraba en la ciudad de Ocaña</t>
  </si>
  <si>
    <t>Descartado</t>
  </si>
  <si>
    <t>KATERIN  DIAZ ZORRO</t>
  </si>
  <si>
    <t>katerin.diaz@oxxo.com</t>
  </si>
  <si>
    <t>08:50</t>
  </si>
  <si>
    <t>Autopista 159</t>
  </si>
  <si>
    <t>Centro</t>
  </si>
  <si>
    <t>Bogotá</t>
  </si>
  <si>
    <t>Calle 159a 22 76</t>
  </si>
  <si>
    <t>https://maps.app.goo.gl/ARHY4pjoMEGefriy5?g_st=iw</t>
  </si>
  <si>
    <t>Nimguno</t>
  </si>
  <si>
    <t>Foto: https://oxxo-colombia.oneapp.cl/static/img/Respuesta/62609012/0c78ccadb1951931f9f9e598456c2f02.jpg</t>
  </si>
  <si>
    <t>09:25</t>
  </si>
  <si>
    <t>Parque Toberin</t>
  </si>
  <si>
    <t>Cra 21 168</t>
  </si>
  <si>
    <t>https://maps.app.goo.gl/RdznzFN8oeXt4BzY8?g_st=iw</t>
  </si>
  <si>
    <t>Ninguno</t>
  </si>
  <si>
    <t>Foto: https://oxxo-colombia.oneapp.cl/static/img/Respuesta/62611190/aab0753a5550540c761da14167e590bd.jpg</t>
  </si>
  <si>
    <t>Aprobado</t>
  </si>
  <si>
    <t>Stefanny Prieto</t>
  </si>
  <si>
    <t>ELVIA JAIMES</t>
  </si>
  <si>
    <t>JAIRO HERNANDEZ</t>
  </si>
  <si>
    <t>jairo.hernandez@oxxo.com</t>
  </si>
  <si>
    <t>15:19</t>
  </si>
  <si>
    <t>Oxxo Bolivar Desnudo</t>
  </si>
  <si>
    <t>Occidente</t>
  </si>
  <si>
    <t>Eje Cafetero</t>
  </si>
  <si>
    <t>Calle 19 carrera 7 esquina</t>
  </si>
  <si>
    <t>https://maps.app.goo.gl/cyi7f3fML7fKbAXTA</t>
  </si>
  <si>
    <t xml:space="preserve">Receso </t>
  </si>
  <si>
    <t>Juan Esteban Arbelaez
3218303155</t>
  </si>
  <si>
    <t>Luvikasu@hotmail.com</t>
  </si>
  <si>
    <t>Foto: https://oxxo-colombia.oneapp.cl/static/img/Respuesta/62624413/20c771fc6c9288613883161d80b62535.jpg</t>
  </si>
  <si>
    <t>16:17</t>
  </si>
  <si>
    <t>Oxxo Los Rosales</t>
  </si>
  <si>
    <t>Carrera 9 24- 62</t>
  </si>
  <si>
    <t>https://maps.app.goo.gl/QBWShgaJxsi6X6WG7</t>
  </si>
  <si>
    <t>Medianero</t>
  </si>
  <si>
    <t>Hospitales/ Clinícas</t>
  </si>
  <si>
    <t>Guillermo Palacios
3146815905
3122875409</t>
  </si>
  <si>
    <t>memito-palacio@hotmail.com</t>
  </si>
  <si>
    <t>Foto: https://oxxo-colombia.oneapp.cl/static/img/Respuesta/62625891/bbb75d22f5b9542c336c0758cfe8f50d.jpg
Foto: https://oxxo-colombia.oneapp.cl/static/img/Respuesta/62625891/cbd83bdd35ee059afb5e2b8722d2af3d.jpg
Foto: https://oxxo-colombia.oneapp.cl/static/img/Respuesta/62625891/6470f7a24b27c5fd93574a90681e8724.jpg</t>
  </si>
  <si>
    <t>Cristian Herrera</t>
  </si>
  <si>
    <t>Alejandro Gomez</t>
  </si>
  <si>
    <t>alejandror.gomez@oxxo.com</t>
  </si>
  <si>
    <t>16:33</t>
  </si>
  <si>
    <t>Oxxo cra 13</t>
  </si>
  <si>
    <t>Cra 13 no 11-09</t>
  </si>
  <si>
    <t>https://maps.app.goo.gl/ZQgrkgw8KHzSeLA8A?g_st=iw</t>
  </si>
  <si>
    <t>6063344240
@rentamoviliaria</t>
  </si>
  <si>
    <t>Foto: https://oxxo-colombia.oneapp.cl/static/img/Respuesta/62626454/87ed3b5f570cab3e0b3ed0ece0ec96c9.jpg
Foto: https://oxxo-colombia.oneapp.cl/static/img/Respuesta/62626454/bf2a2bd00c8f33ddaa547727910a5c6c.jpg
Foto: https://oxxo-colombia.oneapp.cl/static/img/Respuesta/62626454/21896d185fd26b3fe0f7f9d473c56cf4.jpg</t>
  </si>
  <si>
    <t>CRISTIAN ESTUPIÃAN</t>
  </si>
  <si>
    <t>cristian.romero@oxxo.com</t>
  </si>
  <si>
    <t>17:11</t>
  </si>
  <si>
    <t>Parque industrial kuma</t>
  </si>
  <si>
    <t>Centro Norte</t>
  </si>
  <si>
    <t>Km 4 via Zipaquirá Bogotá después de el puente de ingreso a Zipaquirá variante Zipaquirá Ubaté vía nacional</t>
  </si>
  <si>
    <t>https://maps.app.goo.gl/a95PSeawc8zDeAyD7</t>
  </si>
  <si>
    <t>Zona Industrial</t>
  </si>
  <si>
    <t>Sin datos de propietario</t>
  </si>
  <si>
    <t>Foto: https://oxxo-colombia.oneapp.cl/static/img/Respuesta/62627287/c1e0834f4cd9b5d4ab1a925f0204f551.jpg
Foto: https://oxxo-colombia.oneapp.cl/static/img/Respuesta/62627287/e677cf39589abe072208cad82b930fa3.jpg
Foto: https://oxxo-colombia.oneapp.cl/static/img/Respuesta/62627287/45ddda7fb96609d51eb557871f1cf18f.jpg</t>
  </si>
  <si>
    <t>Pendiente aprob</t>
  </si>
  <si>
    <t xml:space="preserve">Daniela  Menasse </t>
  </si>
  <si>
    <t>daniela.menasse@oxxo.com</t>
  </si>
  <si>
    <t>15/07/2026</t>
  </si>
  <si>
    <t>08:30</t>
  </si>
  <si>
    <t>Santo Tomás</t>
  </si>
  <si>
    <t>Rubio 53</t>
  </si>
  <si>
    <t>Carrera 13#52-30 esquina</t>
  </si>
  <si>
    <t>https://maps.app.goo.gl/ZgYr7gZUWwWBfsNb6?g_st=ic</t>
  </si>
  <si>
    <t>No tengo</t>
  </si>
  <si>
    <t>Foto: https://oxxo-colombia.oneapp.cl/static/img/Respuesta/62673636/9c5c324d38e1b8d01a037616b3a8b20d.jpg</t>
  </si>
  <si>
    <t>Jenny Acuña</t>
  </si>
  <si>
    <t>Punto ya lo venia trabajando el especialista, llamado chapinero central</t>
  </si>
  <si>
    <t>08:34</t>
  </si>
  <si>
    <t>Parque Santa Bárbara</t>
  </si>
  <si>
    <t>Parque Santa Barbara 122</t>
  </si>
  <si>
    <t>Calle 122#18b-07</t>
  </si>
  <si>
    <t>https://maps.app.goo.gl/roHspvGqX4kLWBoAA?g_st=ic</t>
  </si>
  <si>
    <t>Foto: https://oxxo-colombia.oneapp.cl/static/img/Respuesta/62673905/121c03b3a3e9f205107fe002e8fb6043.jpg</t>
  </si>
  <si>
    <t>08:39</t>
  </si>
  <si>
    <t>Av cra 15?</t>
  </si>
  <si>
    <t xml:space="preserve">Carrera 15 </t>
  </si>
  <si>
    <t>Av 15#118-93</t>
  </si>
  <si>
    <t>https://maps.app.goo.gl/2TZH47f4N86NTjSb6?g_st=ic</t>
  </si>
  <si>
    <t>Anterior Banco caja social</t>
  </si>
  <si>
    <t>Foto: https://oxxo-colombia.oneapp.cl/static/img/Respuesta/62674064/875b2ce52d5c7099e6bb984754d0bfe0.jpg</t>
  </si>
  <si>
    <t>Brayan Ortiz</t>
  </si>
  <si>
    <t>brayan.ortiz@oxxo.com</t>
  </si>
  <si>
    <t>09:22</t>
  </si>
  <si>
    <t>Tunjuelito</t>
  </si>
  <si>
    <t>Cra 12b 52 80 sur</t>
  </si>
  <si>
    <t>https://maps.app.goo.gl/uNEnpfgoDAbeptMD7?g_st=ac</t>
  </si>
  <si>
    <t>Hogar</t>
  </si>
  <si>
    <t>Zona Residencial</t>
  </si>
  <si>
    <t>w-becerra@hotmail.com</t>
  </si>
  <si>
    <t>Foto: https://oxxo-colombia.oneapp.cl/static/img/Respuesta/62676593/dc0a0774e1cab78bbb958e0b0f01d8b0.jpg
Foto: https://oxxo-colombia.oneapp.cl/static/img/Respuesta/62676593/31fff14c952201a70962b982e5d5b3c2.jpg</t>
  </si>
  <si>
    <t>09:42</t>
  </si>
  <si>
    <t>Le grand</t>
  </si>
  <si>
    <t>Av 116#15-2</t>
  </si>
  <si>
    <t>https://maps.app.goo.gl/37dHFgR4RCV1TvPe8?g_st=ic</t>
  </si>
  <si>
    <t>3142182464
3164705512</t>
  </si>
  <si>
    <t>Foto: https://oxxo-colombia.oneapp.cl/static/img/Respuesta/62677931/f8c06c7abb8003e063af29295ee75181.jpg</t>
  </si>
  <si>
    <t>09:48</t>
  </si>
  <si>
    <t>Pepe av 116</t>
  </si>
  <si>
    <t>Av 116 16-78</t>
  </si>
  <si>
    <t>https://maps.app.goo.gl/FbPpk8UWb766FAqY8?g_st=ic</t>
  </si>
  <si>
    <t>Hay 3 locales desocupados 
2 pegados para que de el área y otro 102 m2</t>
  </si>
  <si>
    <t>https://oxxo-colombia.oneapp.cl/static/img/Respuesta/62678392/15e782c8af7c8926b7b1e25733587063.jpg</t>
  </si>
  <si>
    <t>Diana Marcela Arevalo Gonzalez</t>
  </si>
  <si>
    <t>diana.arevalo@oxxo.com</t>
  </si>
  <si>
    <t>10:38</t>
  </si>
  <si>
    <t>Fusa Sutagao</t>
  </si>
  <si>
    <t xml:space="preserve">Centro Sur </t>
  </si>
  <si>
    <t>EDS Primax - Antigua Panamericana, Arbeláez-Fusagasuga, Fusagasugá, Cundinamarca</t>
  </si>
  <si>
    <t>https://goo.gl/maps/hD1QaqZei8hNKnUy5?g_st=aw</t>
  </si>
  <si>
    <t>Tractorepuestos AL</t>
  </si>
  <si>
    <t>Foto: https://oxxo-colombia.oneapp.cl/static/img/Respuesta/62681026/8324fe22a24dc58b2ad66c11d110f312.jpg
Foto: https://oxxo-colombia.oneapp.cl/static/img/Respuesta/62681026/4fd8b0bcf809f89e1a0941f38c8a9fbf.jpg
Foto: https://oxxo-colombia.oneapp.cl/static/img/Respuesta/62681026/1ad08db0e95687318e1159f636316174.jpg</t>
  </si>
  <si>
    <t>Jonathan Aguirre</t>
  </si>
  <si>
    <t>vicky Duque</t>
  </si>
  <si>
    <t>vicky.duque@oxxo.com</t>
  </si>
  <si>
    <t>12:13</t>
  </si>
  <si>
    <t>Posible OXXO 52 con 13 Frente al Éxito de la 51, antes había un tren Presto, excelente ubicación, se adjuntan fotos</t>
  </si>
  <si>
    <t>Carrera 13# 52-22</t>
  </si>
  <si>
    <t>https://maps.app.goo.gl/9rC2X5676JGMq3sp8?g_st=iw</t>
  </si>
  <si>
    <t>Área 182 mt2 sin correo</t>
  </si>
  <si>
    <t>Foto: https://oxxo-colombia.oneapp.cl/static/img/Respuesta/62686014/6dbd8fb9080d7688ce8cb71cea56b527.jpg
Foto: https://oxxo-colombia.oneapp.cl/static/img/Respuesta/62686014/f046b830ba2bdbd6b3408180fb13cd5f.jpg
Foto: https://oxxo-colombia.oneapp.cl/static/img/Respuesta/62686014/c98baeb58a0a870fc200af528455ed55.jpg
Foto: https://oxxo-colombia.oneapp.cl/static/img/Respuesta/62686014/0000eb81142e4097eec73c005b21e8bf.jpg</t>
  </si>
  <si>
    <t>No subido</t>
  </si>
  <si>
    <t>CHRISTIAN CAMILO RODRIGUEZ</t>
  </si>
  <si>
    <t>christian.rodriguezmarin@oxxo.com</t>
  </si>
  <si>
    <t>12:22</t>
  </si>
  <si>
    <t>Centro comercial el portico</t>
  </si>
  <si>
    <t>Centro comercial el pórtico Facatativá</t>
  </si>
  <si>
    <t>https://maps.app.goo.gl/XKjbjeAS9omZeFTB7?g_st=iw</t>
  </si>
  <si>
    <t>No</t>
  </si>
  <si>
    <t>Foto: https://oxxo-colombia.oneapp.cl/static/img/Respuesta/62686443/a90e81c94dc88f1e8890866ca6ead133.jpg</t>
  </si>
  <si>
    <t>13:21</t>
  </si>
  <si>
    <t>Chapinero facatativa</t>
  </si>
  <si>
    <t>Hospital San Rafael</t>
  </si>
  <si>
    <t>Calle 1 #3-97</t>
  </si>
  <si>
    <t>https://maps.app.goo.gl/PhzXtYjgkKMemPb39?g_st=iw</t>
  </si>
  <si>
    <t>Foto: https://oxxo-colombia.oneapp.cl/static/img/Respuesta/62688562/e438735fb01f082ec211b3a4bb95d339.jpg
Foto: https://oxxo-colombia.oneapp.cl/static/img/Respuesta/62688562/423a495b6a6da53a709410b462229ac6.jpg</t>
  </si>
  <si>
    <t>Danny Bermeo</t>
  </si>
  <si>
    <t>danny.perdomo@oxxo.com</t>
  </si>
  <si>
    <t>13:37</t>
  </si>
  <si>
    <t>Pasaje 10.60 Outlet américas</t>
  </si>
  <si>
    <t>Pasaje Américas</t>
  </si>
  <si>
    <t>Cra 60 # 10_ 44 local 105</t>
  </si>
  <si>
    <t>https://maps.app.goo.gl/qaYbvGnqLY1HZztv8</t>
  </si>
  <si>
    <t>3114539386  fabian</t>
  </si>
  <si>
    <t>N.a</t>
  </si>
  <si>
    <t>Foto: https://oxxo-colombia.oneapp.cl/static/img/Respuesta/62688965/d995c3e0c3286247533d8d39dc637eb1.jpg
Foto: https://oxxo-colombia.oneapp.cl/static/img/Respuesta/62688965/9f99eecdf30980371467b2cb45efccea.jpg
Foto: https://oxxo-colombia.oneapp.cl/static/img/Respuesta/62688965/00ef89b64178265da08e02c453365960.jpg
Foto: https://oxxo-colombia.oneapp.cl/static/img/Respuesta/62688965/7167395391292a520b84b0074511333f.jpg</t>
  </si>
  <si>
    <t>13:43</t>
  </si>
  <si>
    <t>Montecarlo facatativa</t>
  </si>
  <si>
    <t>Calle 2#5-03</t>
  </si>
  <si>
    <t>https://maps.app.goo.gl/8ZCCS79gfk7pGP9C6?g_st=iw</t>
  </si>
  <si>
    <t>3224423373
3046271281</t>
  </si>
  <si>
    <t>Foto: https://oxxo-colombia.oneapp.cl/static/img/Respuesta/62689017/fea367e9b62dc62471c9fa962d583d9c.jpg
Foto: https://oxxo-colombia.oneapp.cl/static/img/Respuesta/62689017/5b31df4943a0eb4751ae327652f8f1f3.jpg</t>
  </si>
  <si>
    <t>19:51</t>
  </si>
  <si>
    <t>OXXO olímpica 53, sector tráfico x cadenas olípica, Farmatodo, dollarciry, vía principal sobre la Boyacá con 53, residencial y comercial</t>
  </si>
  <si>
    <t>Av calle 53 # av cr 72</t>
  </si>
  <si>
    <t>https://maps.app.goo.gl/RXJBFg5X1vNJ3zZ66?g_st=iw</t>
  </si>
  <si>
    <t>Foto: https://oxxo-colombia.oneapp.cl/static/img/Respuesta/62695036/f1bdc273dfb5e1d12c1ecef6cb3e7a2a.jpg
Foto: https://oxxo-colombia.oneapp.cl/static/img/Respuesta/62695036/1022c0589a128b7e214c0b5dff02b09d.jpg</t>
  </si>
  <si>
    <t>MASSIEL LORENA GARZON MONTES</t>
  </si>
  <si>
    <t>massiel.garzon@oxxo.com</t>
  </si>
  <si>
    <t>19:57</t>
  </si>
  <si>
    <t>Santa Beatriz</t>
  </si>
  <si>
    <t>Cra 15 n 118 93</t>
  </si>
  <si>
    <t>https://maps.app.goo.gl/xqXqLXgy7UCyB6pz9?g_st=ac</t>
  </si>
  <si>
    <t>N/A</t>
  </si>
  <si>
    <t>Foto: https://oxxo-colombia.oneapp.cl/static/img/Respuesta/62695161/307ee68386c324cb589766d182d3dbf3.jpg</t>
  </si>
  <si>
    <t>Brayan Mogollón</t>
  </si>
  <si>
    <t>brayan.mogollon@oxxo.com</t>
  </si>
  <si>
    <t>21:05</t>
  </si>
  <si>
    <t>Citadinno</t>
  </si>
  <si>
    <t>Carrera 13 #33 a - 10</t>
  </si>
  <si>
    <t>https://maps.app.goo.gl/UgKek3eZnzV3KFSy6</t>
  </si>
  <si>
    <t>Foto: https://oxxo-colombia.oneapp.cl/static/img/Respuesta/62695999/d6da005f5521a4d75c851ab9adfd946d.jpg
Foto: https://oxxo-colombia.oneapp.cl/static/img/Respuesta/62695999/84cfcf75c0b9c3d3d25c32e358cd47a9.jpg
Foto: https://oxxo-colombia.oneapp.cl/static/img/Respuesta/62695999/d03028d1788909bd2c38c3e7df9282fe.jpg</t>
  </si>
  <si>
    <t>Asignar a especialista carlos bolañps</t>
  </si>
  <si>
    <t>16/07/2026</t>
  </si>
  <si>
    <t>09:43</t>
  </si>
  <si>
    <t>Girardot Oasis</t>
  </si>
  <si>
    <t>Carrera 10 # 19 -87  
Centro  comercial Oasis 
Teléfono  8361574</t>
  </si>
  <si>
    <t>https://maps.app.goo.gl/4XVD4C94joAnoLQU8?g_st=aw</t>
  </si>
  <si>
    <t>Es propiedad del centro  comercial local esquinero externo sobre vía principal, la encargada de locales es la señora Maria  3113450659</t>
  </si>
  <si>
    <t>3113450659 teléfono  señora Maria</t>
  </si>
  <si>
    <t>Foto: https://oxxo-colombia.oneapp.cl/static/img/Respuesta/62739297/3a0140b4026d36ec076615208b5286e8.jpg
Foto: https://oxxo-colombia.oneapp.cl/static/img/Respuesta/62739297/00868430b481892c62f5413a5344266f.jpg
Foto: https://oxxo-colombia.oneapp.cl/static/img/Respuesta/62739297/88fdb0d20858968755ff96a142d223c8.jpg
Foto: https://oxxo-colombia.oneapp.cl/static/img/Respuesta/62739297/86a27b789dc32044bf2e7ee6f90ead3e.jpg
Foto: https://oxxo-colombia.oneapp.cl/static/img/Respuesta/62739297/823f5a2c73af364f32b5d7fe9aaa59bf.jpg
Foto: https://oxxo-colombia.oneapp.cl/static/img/Respuesta/62739297/de9afca16655d06bb597ea69835e23ec.jpg</t>
  </si>
  <si>
    <t>13:29</t>
  </si>
  <si>
    <t>Auto 161</t>
  </si>
  <si>
    <t>Cra 45 161 40</t>
  </si>
  <si>
    <t>https://maps.app.goo.gl/5bYucWhBPLEHru7D8</t>
  </si>
  <si>
    <t>Foto: https://oxxo-colombia.oneapp.cl/static/img/Respuesta/62748121/b84838d7b907b803fb8d0920d6242ab2.jpg</t>
  </si>
  <si>
    <t>13:45</t>
  </si>
  <si>
    <t>Siena apartamentos</t>
  </si>
  <si>
    <t>Dg 68 a sur #14 T 20</t>
  </si>
  <si>
    <t>https://maps.app.goo.gl/QEQfuLMTfSvDtyZS7?g_st=ac</t>
  </si>
  <si>
    <t>Foto: https://oxxo-colombia.oneapp.cl/static/img/Respuesta/62748317/3322645e671d2b25cb5eef3ae49b30cc.jpg</t>
  </si>
  <si>
    <t>15:12</t>
  </si>
  <si>
    <t>Pinares</t>
  </si>
  <si>
    <t>Calle 14, esquina de clinica san rafael y megacentro pereira</t>
  </si>
  <si>
    <t>https://maps.app.goo.gl/DsZejbLUvxEXoxAA6?g_st=awb</t>
  </si>
  <si>
    <t>No posee</t>
  </si>
  <si>
    <t>Foto: https://oxxo-colombia.oneapp.cl/static/img/Respuesta/62750692/9c75c5050e5cf978d3e249eef5cd3e90.jpg
Foto: https://oxxo-colombia.oneapp.cl/static/img/Respuesta/62750692/6faf06a410aa2c8c5c95553941512d99.jpg
Foto: https://oxxo-colombia.oneapp.cl/static/img/Respuesta/62750692/150d79d820f4eba8aec47520434195f3.jpg</t>
  </si>
  <si>
    <t>16:55</t>
  </si>
  <si>
    <t>Oxxo Monarca</t>
  </si>
  <si>
    <t>Sector las piñas cerritos, Mall Plaza Monarca</t>
  </si>
  <si>
    <t>https://maps.app.goo.gl/crfJcUJxJcrVFGAw8?g_st=awb</t>
  </si>
  <si>
    <t>Daniel Giraldo Lopez
3156981219</t>
  </si>
  <si>
    <t>dagilo94@hotmail.com</t>
  </si>
  <si>
    <t>Foto: https://oxxo-colombia.oneapp.cl/static/img/Respuesta/62752594/8b65e4ea3b50c310ca2be99f1ce2668a.jpg
Foto: https://oxxo-colombia.oneapp.cl/static/img/Respuesta/62752594/568fe042ea8c0f70a382dd7ee5ffb814.jpg
Foto: https://oxxo-colombia.oneapp.cl/static/img/Respuesta/62752594/295c31e7cef38b5e67a8a2ae606b692f.jpg</t>
  </si>
  <si>
    <t>17:29</t>
  </si>
  <si>
    <t>Capital
En ese punto había un ARA, tiene bahía de parqueo,  cerca esta una sucursal de eps sanitas, edificio capital,  torre sapiencia</t>
  </si>
  <si>
    <t>Auto Norte cra 45 N 122 36</t>
  </si>
  <si>
    <t>https://maps.app.goo.gl/M7GS1t882L9X2s5X7?g_st=ac</t>
  </si>
  <si>
    <t>3102960548
3134539405
3222535839</t>
  </si>
  <si>
    <t>Foto: https://oxxo-colombia.oneapp.cl/static/img/Respuesta/62753216/3b2b19a79c8df3a1b7b1e3a59b46ba4b.jpg</t>
  </si>
  <si>
    <t>21:40</t>
  </si>
  <si>
    <t>Pinar</t>
  </si>
  <si>
    <t>El pinar bog</t>
  </si>
  <si>
    <t>Cra 97b calle 153</t>
  </si>
  <si>
    <t>https://maps.app.goo.gl/Zs8Bp3Xwscm3Lyq39</t>
  </si>
  <si>
    <t>https://oxxo-colombia.oneapp.cl/static/img/Respuesta/62755126/4ed63ced37b89f4a0b1b1e126687e0af.jpg
Foto: https://oxxo-colombia.oneapp.cl/static/img/Respuesta/62755126/4e09e8f4390230f64598fd87a240c9f6.jpg
Foto: https://oxxo-colombia.oneapp.cl/static/img/Respuesta/62755126/06405011868606fa3061b91bf241ecf8.jpg</t>
  </si>
  <si>
    <t>Diana Victoria Bernal Puentes</t>
  </si>
  <si>
    <t>diana.bernal@oxxo.com</t>
  </si>
  <si>
    <t>19/07/2026</t>
  </si>
  <si>
    <t>11:52</t>
  </si>
  <si>
    <t>OXXO ESMERALDA</t>
  </si>
  <si>
    <t>Zipa 11</t>
  </si>
  <si>
    <t>Calle 11 Cra 11 esquina</t>
  </si>
  <si>
    <t>https://maps.app.goo.gl/xG4YUUbdmJKMJHGW8?g_st=aw</t>
  </si>
  <si>
    <t>LUis Alberto Páez</t>
  </si>
  <si>
    <t>https://oxxo-colombia.oneapp.cl/static/img/Respuesta/62915009/fc0338b1145297bcaa7fe7e1a19bac18.jpg</t>
  </si>
  <si>
    <t>29-2026</t>
  </si>
  <si>
    <t>5.027791593988247, -73.99874073746274</t>
  </si>
  <si>
    <t>Variables de éxito</t>
  </si>
  <si>
    <t>DANIEL PANQUEBA</t>
  </si>
  <si>
    <t>daniel.panqueba@oxxo.com</t>
  </si>
  <si>
    <t>20/07/2026</t>
  </si>
  <si>
    <t>10:43</t>
  </si>
  <si>
    <t>Hacienda los lagos</t>
  </si>
  <si>
    <t>Carrera 54 D # 200-54</t>
  </si>
  <si>
    <t>https://maps.app.goo.gl/sq7pMrES6283SMyr6?g_st=ac</t>
  </si>
  <si>
    <t>Sin correo</t>
  </si>
  <si>
    <t>Foto: https://oxxo-colombia.oneapp.cl/static/img/Respuesta/62960615/8801b3ddd9ed6187e40704018b2f1392.jpg</t>
  </si>
  <si>
    <t>4.781802983206212, -74.04198865758453</t>
  </si>
  <si>
    <t>11:18</t>
  </si>
  <si>
    <t>Calle 168 # 20-71</t>
  </si>
  <si>
    <t>https://maps.app.goo.gl/mWPt1WTFKARjgwHP6?g_st=ac</t>
  </si>
  <si>
    <t>Foto: https://oxxo-colombia.oneapp.cl/static/img/Respuesta/62961274/6a6cb01e1b5a6340b9373c48063db102.jpg</t>
  </si>
  <si>
    <t>Descartado por punto duplicado (Parque Toberín- Katerin Zorro)</t>
  </si>
  <si>
    <t>Duplicado</t>
  </si>
  <si>
    <t>11:30</t>
  </si>
  <si>
    <t>Colegio las orquídeas</t>
  </si>
  <si>
    <t>Calle 161 # 16 A -50</t>
  </si>
  <si>
    <t xml:space="preserve">https://maps.app.goo.gl/U51zZk2Qhyu1RYGE8?g_st=ac
</t>
  </si>
  <si>
    <t>Foto: https://oxxo-colombia.oneapp.cl/static/img/Respuesta/62961438/66e0b5625c4e11858657fb9abf2597f6.jpg</t>
  </si>
  <si>
    <t>4.739775161783024, -74.03977905766746</t>
  </si>
  <si>
    <t>Área/Propuesta de valor</t>
  </si>
  <si>
    <t>11:58</t>
  </si>
  <si>
    <t>Ciudadela la Salle</t>
  </si>
  <si>
    <t>Carrera 10 # 172 B -50</t>
  </si>
  <si>
    <t>https://maps.app.goo.gl/hh9DqoKdf3dEj9zaA?g_st=ac</t>
  </si>
  <si>
    <t>3132739812
Este número lo entrego la administración del conjunto indicandome que ellos como constructora son quienes aún tienen el espacio y lo están terminando 
Es un buen punto , muy bien ubicado y con altísima proyección</t>
  </si>
  <si>
    <t>Foto: https://oxxo-colombia.oneapp.cl/static/img/Respuesta/62961649/0271a83bc51b864d61be563a1521a6aa.jpg
Foto: https://oxxo-colombia.oneapp.cl/static/img/Respuesta/62961649/2977d7b7ca7580190481d2ff03aa6c49.jpg</t>
  </si>
  <si>
    <t>4.754217862074933, -74.0325415577275</t>
  </si>
  <si>
    <t>12:20</t>
  </si>
  <si>
    <t>Torre del reloj</t>
  </si>
  <si>
    <t>Transversal 60 #103 b - 33</t>
  </si>
  <si>
    <t>https://maps.app.goo.gl/dmeiK9Y56iBqfb7k6?g_st=ac</t>
  </si>
  <si>
    <t>Foto: https://oxxo-colombia.oneapp.cl/static/img/Respuesta/62962139/2dc0881fa48466a7efb2eb5606372e40.jpg
Foto: https://oxxo-colombia.oneapp.cl/static/img/Respuesta/62962139/831cef9c86838823549a2290cad8a43c.jpg</t>
  </si>
  <si>
    <t>12:28</t>
  </si>
  <si>
    <t>El faro</t>
  </si>
  <si>
    <t>Avenida carrera 100 #49-79</t>
  </si>
  <si>
    <t>https://maps.app.goo.gl/p5zUjk4WGLsFS4F36?g_st=ac</t>
  </si>
  <si>
    <t>Foto: https://oxxo-colombia.oneapp.cl/static/img/Respuesta/62962373/8599d006e3407f393b65424c01d3bf3c.jpg
Foto: https://oxxo-colombia.oneapp.cl/static/img/Respuesta/62962373/0b2651d5d6a62132117be1f485cce921.jpg</t>
  </si>
  <si>
    <t xml:space="preserve">Canibalización </t>
  </si>
  <si>
    <t>12:34</t>
  </si>
  <si>
    <t>Avenida 100</t>
  </si>
  <si>
    <t>Avenida carrera 100 #49-71</t>
  </si>
  <si>
    <t>https://maps.app.goo.gl/YkLLtdtkCjYSog6J7?g_st=ac</t>
  </si>
  <si>
    <t>Foto: https://oxxo-colombia.oneapp.cl/static/img/Respuesta/62962491/741128f502c6b0deaee305612375db45.jpg
Foto: https://oxxo-colombia.oneapp.cl/static/img/Respuesta/62962491/5ab43e990151593dd48b428700c82364.jpg</t>
  </si>
  <si>
    <t>12:49</t>
  </si>
  <si>
    <t>Santa barbara 109</t>
  </si>
  <si>
    <t>Carrera 17 #109 -21</t>
  </si>
  <si>
    <t>https://maps.app.goo.gl/9gYzbHpcbRQwNBec9?g_st=ac</t>
  </si>
  <si>
    <t>Foto: https://oxxo-colombia.oneapp.cl/static/img/Respuesta/62962673/39e0dad2ac948f6f82c6e935f31cfbff.jpg
Foto: https://oxxo-colombia.oneapp.cl/static/img/Respuesta/62962673/bbf64a867d5d4aad62898c28df60600e.jpg</t>
  </si>
  <si>
    <t>13:00</t>
  </si>
  <si>
    <t>Living 109</t>
  </si>
  <si>
    <t>Cra 19 #109-40</t>
  </si>
  <si>
    <t>https://maps.app.goo.gl/nkuWwF8dxLDuY6YZ9?g_st=ac</t>
  </si>
  <si>
    <t>Foto: https://oxxo-colombia.oneapp.cl/static/img/Respuesta/62962924/dcbcce1889cefe8bd7b3c0f61ac28a80.jpg
Foto: https://oxxo-colombia.oneapp.cl/static/img/Respuesta/62962924/3657364ab4ca218b91fe6bcf5ea01495.jpg</t>
  </si>
  <si>
    <t>13:12</t>
  </si>
  <si>
    <t>Pepe sierra 116</t>
  </si>
  <si>
    <t>Calle 116 #16-78</t>
  </si>
  <si>
    <t>https://maps.app.goo.gl/ycEJu2jwy79qR4py8?g_st=ac</t>
  </si>
  <si>
    <t>Foto: https://oxxo-colombia.oneapp.cl/static/img/Respuesta/62963260/f15bc7658b69abe02fc129784d008720.jpg
Foto: https://oxxo-colombia.oneapp.cl/static/img/Respuesta/62963260/d80490b685ecc44ad7e1ab7d03a1c36c.jpg
Foto: https://oxxo-colombia.oneapp.cl/static/img/Respuesta/62963260/d263ff39f1af739bfdc9dec724f94997.jpg</t>
  </si>
  <si>
    <t>Descartado por punto duplicado (Pepe av 116- Daniela Menasse)</t>
  </si>
  <si>
    <t>DIANA ARAQUE</t>
  </si>
  <si>
    <t>diana.araque@oxxo.com</t>
  </si>
  <si>
    <t>21/07/2026</t>
  </si>
  <si>
    <t>10:32</t>
  </si>
  <si>
    <t>FONTANA</t>
  </si>
  <si>
    <t>Cra. 19 #102-40, Bucaramanga, Santander</t>
  </si>
  <si>
    <t>https://maps.app.goo.gl/tguqLex5RC5W2E976?g_st=ac</t>
  </si>
  <si>
    <t>comercialarcof1@gmail.com</t>
  </si>
  <si>
    <t>https://oxxo-colombia.oneapp.cl/static/img/Respuesta/63022672/81fa2636d53ac76f36319b19b4479d70.jpg
Foto: https://oxxo-colombia.oneapp.cl/static/img/Respuesta/63022672/e55130858a347b5a12c60aea2693c797.jpg
Foto: https://oxxo-colombia.oneapp.cl/static/img/Respuesta/63022672/56a8eafbcc939e8d460c1e7bfa6329a8.jpg</t>
  </si>
  <si>
    <t>Dany Ospina</t>
  </si>
  <si>
    <t>dany.ospina@oxxo.com</t>
  </si>
  <si>
    <t>12:54</t>
  </si>
  <si>
    <t>San jose sur</t>
  </si>
  <si>
    <t>Calle 27 sur 12-78</t>
  </si>
  <si>
    <t>https://maps.app.goo.gl/Re2hX3yEGKe3qDFh6</t>
  </si>
  <si>
    <t>Melba cristina salamanca Bonilla</t>
  </si>
  <si>
    <t>Jenicita15@yahoo.es</t>
  </si>
  <si>
    <t>Foto: https://oxxo-colombia.oneapp.cl/static/img/Respuesta/63028228/15ec112ce4d8895782a461b65897cddb.jpg</t>
  </si>
  <si>
    <t>Diana Becerra</t>
  </si>
  <si>
    <t>diana.becerramelo@oxxo.com</t>
  </si>
  <si>
    <t>13:54</t>
  </si>
  <si>
    <t>CC punto 72</t>
  </si>
  <si>
    <t>Av cali calle 72</t>
  </si>
  <si>
    <t>https://maps.app.goo.gl/JSyt4qJYuenXjgtm6</t>
  </si>
  <si>
    <t>Foto: https://oxxo-colombia.oneapp.cl/static/img/Respuesta/63029551/d98bfed266cbf8485dca7253639141e0.jpg
Foto: https://oxxo-colombia.oneapp.cl/static/img/Respuesta/63029551/0969a210ef7a75b7979f03383c9a274e.jpg</t>
  </si>
  <si>
    <t>14:22</t>
  </si>
  <si>
    <t>Centro servicio los sauces lebrija
El local lo construyen deacuerdo a nuestras especificaciones.  Actualmente está el lote. 
Queda en toda la vía principal en un triángulo que comunica con el pueblo del municipio</t>
  </si>
  <si>
    <t>Los Sauces Lebrija</t>
  </si>
  <si>
    <t>Centro de servicio los sauces municipio lebrija santander</t>
  </si>
  <si>
    <t>https://maps.app.goo.gl/Fqt5xWrLJWy62G8s6?g_st=iwb</t>
  </si>
  <si>
    <t>Natalia roncancio
Nataliaroncancio123@gmail.com</t>
  </si>
  <si>
    <t>Foto: https://oxxo-colombia.oneapp.cl/static/img/Respuesta/63030372/36558cfdd4e236b839665b1755181b1f.jpg</t>
  </si>
  <si>
    <t>Yury Sanchez Diaz</t>
  </si>
  <si>
    <t>yury.sanchez@oxxo.com</t>
  </si>
  <si>
    <t>16:42</t>
  </si>
  <si>
    <t>Andatti HIC</t>
  </si>
  <si>
    <t>Vereda Mensuly # km 7, piedecuesta</t>
  </si>
  <si>
    <t>https://maps.app.goo.gl/kAT7PsDEWgBy4ckM7?g_st=aw</t>
  </si>
  <si>
    <t>3002843683
Isabel pinto</t>
  </si>
  <si>
    <t>No aplica</t>
  </si>
  <si>
    <t>Foto: https://oxxo-colombia.oneapp.cl/static/img/Respuesta/63033754/d7a44baf35aab8b61733b83d317a06b0.jpg
Foto: https://oxxo-colombia.oneapp.cl/static/img/Respuesta/63033754/7b2d6e594e3a76901da0f70ea2d01f3f.jpg</t>
  </si>
  <si>
    <t>17:33</t>
  </si>
  <si>
    <t>Oxxo parnaso</t>
  </si>
  <si>
    <t>Cra 18 a n 61 06 parnaso
Calle 61 n 18b 07 parnaso</t>
  </si>
  <si>
    <t>https://nam04.safelinks.protection.outlook.com/?url=https%3A%2F%2Fmaps.app.goo.gl%2FEUrAa2jcRimMkemN6&amp;data=05%7C02%7Cyury.sanchez%40oxxo.com%7Cc000ffbf44a048a5c9fd08dee1ebc97c%7C66f9ab85de1a40d4b7bb21565ad57cce%7C0%7C0%7C639196600062044080%7CUnknown%7CTWFpbGZsb3d8eyJFbXB0eU1hcGkiOnRydWUsIlYiOiIwLjAuMDAwMCIsIlAiOiJXaW4zMiIsIkFOIjoiTWFpbCIsIldUIjoyfQ%3D%3D%7C0%7C%7C%7C&amp;sdata=EY47dcfCXy2YrMCfcbArM3YH9eRYKA1etk1i%2Bb1zUr0%3D&amp;reserved=0</t>
  </si>
  <si>
    <t>Roberth Alvarez
Cel: 3185579848</t>
  </si>
  <si>
    <t>NA</t>
  </si>
  <si>
    <t>Foto: https://oxxo-colombia.oneapp.cl/static/img/Respuesta/63035030/eb712607b0619306c8ea76066cb9a411.jpg
Foto: https://oxxo-colombia.oneapp.cl/static/img/Respuesta/63035030/e95ec3015a5d9b7517a96ede710d0d7a.jpg</t>
  </si>
  <si>
    <t>20:18</t>
  </si>
  <si>
    <t>Calle 11</t>
  </si>
  <si>
    <t>Calle 11# 22-04 esquina Barrio san francisco</t>
  </si>
  <si>
    <t>https://maps.app.goo.gl/e6zYrkzXtHa5ac9T9?g_st=iw</t>
  </si>
  <si>
    <t>3182544040- 3150475053
HERNANDO RODRIGUEZ PATIÑO</t>
  </si>
  <si>
    <t>Hrodriguezconta@gmail.com</t>
  </si>
  <si>
    <t>Foto: https://oxxo-colombia.oneapp.cl/static/img/Respuesta/63037142/c765f8f8aa56ed352238cdb0c4651b44.jpg
Foto: https://oxxo-colombia.oneapp.cl/static/img/Respuesta/63037142/7b486301a008d088374c82bd30ac2b05.jpg</t>
  </si>
  <si>
    <t>Hermis David Cuicas Diaz</t>
  </si>
  <si>
    <t>22/07/2026</t>
  </si>
  <si>
    <t>16:13</t>
  </si>
  <si>
    <t>EDS SAN FERNANDO</t>
  </si>
  <si>
    <t>Cra. 57 #68-27, Bogotá</t>
  </si>
  <si>
    <t>PEDRO MORENO SUAREZ</t>
  </si>
  <si>
    <t>https://maps.app.goo.gl/6YBR9JYLZWtzb83y7?g_st=ac</t>
  </si>
  <si>
    <t>Foto: https://oxxo-colombia.oneapp.cl/static/img/Respuesta/63102363/e13cae0c9439d46f1a63203b6fc43080.jpg
Foto: https://oxxo-colombia.oneapp.cl/static/img/Respuesta/63102363/d37c621d8eb87ff59d04ddb294a7e4c1.jpg
Foto: https://oxxo-colombia.oneapp.cl/static/img/Respuesta/63102363/b6077fea768c969e1647f1b8dca1d13f.jpg</t>
  </si>
  <si>
    <t>16:57</t>
  </si>
  <si>
    <t>Campus</t>
  </si>
  <si>
    <t>Cl. 68b # 68A-35, Engativá, Bogotá</t>
  </si>
  <si>
    <t>https://maps.app.goo.gl/EyCAWArR3m9TpYUx7?g_st=ac</t>
  </si>
  <si>
    <t>Centros Educativos</t>
  </si>
  <si>
    <t>No cuenta</t>
  </si>
  <si>
    <t>Foto: https://oxxo-colombia.oneapp.cl/static/img/Respuesta/63103282/805a307f089ae21f717810c4c5685458.jpg
Foto: https://oxxo-colombia.oneapp.cl/static/img/Respuesta/63103282/b49bfc6562cdfa93c7028bbd312ee339.jpg</t>
  </si>
  <si>
    <t>17:06</t>
  </si>
  <si>
    <t>Campus Compensar</t>
  </si>
  <si>
    <t>Av. 68 #68b-10, Bogotá</t>
  </si>
  <si>
    <t>https://maps.app.goo.gl/wbcjBnHS4KwUYnNN9?g_st=ac</t>
  </si>
  <si>
    <t>No tiene</t>
  </si>
  <si>
    <t>Foto: https://oxxo-colombia.oneapp.cl/static/img/Respuesta/63103379/879e90a19957c356f0e0f03fa10b0623.jpg
Foto: https://oxxo-colombia.oneapp.cl/static/img/Respuesta/63103379/aae55205a69bada077b9965a7ca22d29.jpg</t>
  </si>
  <si>
    <t>Andres Ortiz</t>
  </si>
  <si>
    <t>andres.ortiz@oxxo.com</t>
  </si>
  <si>
    <t>17:56</t>
  </si>
  <si>
    <t>Centro Suba</t>
  </si>
  <si>
    <t>https://maps.app.goo.gl/TCHUdwg6A8YgVuCz5?g_st=ac</t>
  </si>
  <si>
    <t>6017447577 ext. 101</t>
  </si>
  <si>
    <t>Analistacomercial@centrosuba.com</t>
  </si>
  <si>
    <t>Foto: https://oxxo-colombia.oneapp.cl/static/img/Respuesta/63104136/8830531906816548589e2ebf7962c632.jpg
Foto: https://oxxo-colombia.oneapp.cl/static/img/Respuesta/63104136/f60c7ae18db0a2c8b38cb5a301207bdd.jpg
Foto: https://oxxo-colombia.oneapp.cl/static/img/Respuesta/63104136/bdaf13cf7a54a5e262ee11a96c734d6a.jpg</t>
  </si>
  <si>
    <t>18:47</t>
  </si>
  <si>
    <t>Oxxo cuba</t>
  </si>
  <si>
    <t>Cra. 26 Bis # 71-73, Pereira, Risaralda</t>
  </si>
  <si>
    <t>YESENIA ARIZTIZABAL ALZATE</t>
  </si>
  <si>
    <t>https://share.google/CPQ8CQuA70rGqPrMw</t>
  </si>
  <si>
    <t>Zona de Transporte Público</t>
  </si>
  <si>
    <t>Foto: https://oxxo-colombia.oneapp.cl/static/img/Respuesta/63104750/ef3a8d39358b32f701fddadc9d3f29cb.jpg
Foto: https://oxxo-colombia.oneapp.cl/static/img/Respuesta/63104750/bcb7187031b8414d4079f30796859c38.jpg
Foto: https://oxxo-colombia.oneapp.cl/static/img/Respuesta/63104750/492725e73708efc02fbd4d8d55f1652e.jpg
Foto: https://oxxo-colombia.oneapp.cl/static/img/Respuesta/63104750/3330383ca4366c1b0790adcda94490c8.jpg
Foto: https://oxxo-colombia.oneapp.cl/static/img/Respuesta/63104750/0fafba6024d5d26375653d9db8317f8b.jpg</t>
  </si>
  <si>
    <t>20:10</t>
  </si>
  <si>
    <t>Suba Acuarela</t>
  </si>
  <si>
    <t xml:space="preserve">Ac 145 #92 - 30 </t>
  </si>
  <si>
    <t>https://maps.app.goo.gl/BeTGCR24bq6FqSRe8?g_st=ac</t>
  </si>
  <si>
    <t>Foto: https://oxxo-colombia.oneapp.cl/static/img/Respuesta/63105738/863419e6033867a5b4470c295b65cb58.jpg</t>
  </si>
  <si>
    <t>4.7388603931210005, -74.08629502884321</t>
  </si>
  <si>
    <t>20:26</t>
  </si>
  <si>
    <t>Suba Piloto</t>
  </si>
  <si>
    <t>Cra. 118 #132a-13, Bogotá</t>
  </si>
  <si>
    <t>https://maps.app.goo.gl/BKx91rDJ4CJKfCNt7?g_st=ac</t>
  </si>
  <si>
    <t>Na</t>
  </si>
  <si>
    <t>Foto: https://oxxo-colombia.oneapp.cl/static/img/Respuesta/63105816/a9cd1bb35b449123912cebbafd048567.jpg
Foto: https://oxxo-colombia.oneapp.cl/static/img/Respuesta/63105816/7eb12e7051609ff2f8add6ad4ac9eab3.jpg
Foto: https://oxxo-colombia.oneapp.cl/static/img/Respuesta/63105816/4f005d03ac24dfb04fee2231c12f4f29.jpg</t>
  </si>
  <si>
    <t>4.738428961750473, -74.10561618650813</t>
  </si>
  <si>
    <t>20:31</t>
  </si>
  <si>
    <t>Ilarco</t>
  </si>
  <si>
    <t>Av Suba #115-58, Bogotá</t>
  </si>
  <si>
    <t>JUAN QUIROGA</t>
  </si>
  <si>
    <t>https://maps.app.goo.gl/3zpfDx5Jekfv4v86A?g_st=ac</t>
  </si>
  <si>
    <t>Foto: https://oxxo-colombia.oneapp.cl/static/img/Respuesta/63105863/9a2ee0e114d799b3eb6d0c4c6dfc4dc4.jpg
Foto: https://oxxo-colombia.oneapp.cl/static/img/Respuesta/63105863/5dfb36936e6cb77192df2893aec9daa1.jpg
Foto: https://oxxo-colombia.oneapp.cl/static/img/Respuesta/63105863/bb38ed20a5dbc308275476604cddba6c.jpg</t>
  </si>
  <si>
    <t>4.698999960838861, -74.06954454233055</t>
  </si>
  <si>
    <t>20:44</t>
  </si>
  <si>
    <t>Mandalay</t>
  </si>
  <si>
    <t>Cl. 2 # 73b 39, Kennedy, Bogotá</t>
  </si>
  <si>
    <t>https://maps.app.goo.gl/XQdTnYufh5YeLTcXA?g_st=ac</t>
  </si>
  <si>
    <t>joseggordillo@gmail.com</t>
  </si>
  <si>
    <t>Foto: https://oxxo-colombia.oneapp.cl/static/img/Respuesta/63106181/53bbeb64db9a1e79aee0bb1d17a0db5e.jpg
Foto: https://oxxo-colombia.oneapp.cl/static/img/Respuesta/63106181/102b5a3337dee803bb88e6ae8403b808.jpg
Foto: https://oxxo-colombia.oneapp.cl/static/img/Respuesta/63106181/35e9cceb82dff20f13d33ca56c59a3be.jpg
Foto: https://oxxo-colombia.oneapp.cl/static/img/Respuesta/63106181/047019f37a472e61efed9140c3474d30.jpg</t>
  </si>
  <si>
    <t>4.6240111347916, -74.14309515767714</t>
  </si>
  <si>
    <t>23/07/2026</t>
  </si>
  <si>
    <t>11:29</t>
  </si>
  <si>
    <t>Circunvalar intersección</t>
  </si>
  <si>
    <t>Cra. 13 #11-31, Pereira, Risaralda</t>
  </si>
  <si>
    <t>https://maps.app.goo.gl/BS9YHfeBx8LigNK16?g_st=aw</t>
  </si>
  <si>
    <t>Zona Administrativa</t>
  </si>
  <si>
    <t>6063344240
3009121600</t>
  </si>
  <si>
    <t>www.rentainmobiliaria.com</t>
  </si>
  <si>
    <t>Foto: https://oxxo-colombia.oneapp.cl/static/img/Respuesta/63158543/9810a680f4f88d4e6c8be1d1782908f5.jpg</t>
  </si>
  <si>
    <t>4.808281963380165, -75.68834972883444</t>
  </si>
  <si>
    <t>Descartado por punto duplicado (Oxxo cra 13- Alejandro Gomez)</t>
  </si>
  <si>
    <t>ERNESTO LATORRE</t>
  </si>
  <si>
    <t>ernesto.latorre@oxxo.com</t>
  </si>
  <si>
    <t>12:14</t>
  </si>
  <si>
    <t>Edificio Tequendama Calle 100</t>
  </si>
  <si>
    <t>Tequendama 100</t>
  </si>
  <si>
    <t>Ac. 100 #11A-51, Bogotá</t>
  </si>
  <si>
    <t>https://maps.app.goo.gl/PE1f4S4YcVUUo6e98?g_st=ac</t>
  </si>
  <si>
    <t>www.gnbsudameris.com.co</t>
  </si>
  <si>
    <t>Foto: https://oxxo-colombia.oneapp.cl/static/img/Respuesta/63160024/372397dc164e9f428f9e1d436dc1293c.jpg
Foto: https://oxxo-colombia.oneapp.cl/static/img/Respuesta/63160024/9c4d3f7fd9308fd969bad057b88620c4.jpg
Foto: https://oxxo-colombia.oneapp.cl/static/img/Respuesta/63160024/93a41d7f180ce765672bbc88b608f2a3.jpg</t>
  </si>
  <si>
    <t>4.682833960466399, -74.04458175766959</t>
  </si>
  <si>
    <t>17:25</t>
  </si>
  <si>
    <t>Industrial AC</t>
  </si>
  <si>
    <t>https://maps.app.goo.gl/iQjt8Ebm6H8CuvqJ8?g_st=ac</t>
  </si>
  <si>
    <t>Foto: https://oxxo-colombia.oneapp.cl/static/img/Respuesta/63170378/4b7d83cae36bd3b56b5223a303d5741e.jpg
Foto: https://oxxo-colombia.oneapp.cl/static/img/Respuesta/63170378/8f095f0db6f437786bab9652af214bc1.jpg</t>
  </si>
  <si>
    <t>FRANCISCO GOMEZ</t>
  </si>
  <si>
    <t>francisco.gomezgrajales@oxxo.com</t>
  </si>
  <si>
    <t>17:37</t>
  </si>
  <si>
    <t>Ciudad jardín sur</t>
  </si>
  <si>
    <t xml:space="preserve">Ciudad Salitre </t>
  </si>
  <si>
    <t>Cra. 12c #17-07 sur, Bogotá</t>
  </si>
  <si>
    <t>https://maps.app.goo.gl/974Kc9pnwF5W8VPB9?g_st=aw</t>
  </si>
  <si>
    <t>Spabalanceperfecto.bogota@gmail.com</t>
  </si>
  <si>
    <t>Foto: https://oxxo-colombia.oneapp.cl/static/img/Respuesta/63170723/6312aa5d086347342ecf73aadd382c54.jpg
Foto: https://oxxo-colombia.oneapp.cl/static/img/Respuesta/63170723/5c54c8d70bd8a08cce7458dee02778ed.jpg</t>
  </si>
  <si>
    <t>4.581879147272417, -74.09702741534957</t>
  </si>
  <si>
    <t>18:55</t>
  </si>
  <si>
    <t>Comercial Molinos</t>
  </si>
  <si>
    <t>Calle 30 #30 04</t>
  </si>
  <si>
    <t>DIEGO RODRIGUEZ ESTEBAN</t>
  </si>
  <si>
    <t>https://www.bing.com/maps/search?mepi=0%7ERetail%7EEmbedded%7EEntity_Vertical_List_Card&amp;ty=17&amp;poicount=18&amp;sei=0&amp;FORM=MPSRPL&amp;q=centro+comercial+ca%C3%B1averal+ubicaci%C3%B3n+maps&amp;secq=Entrada+Principal+-+Centro+Comercial+Ca%C3%B1averal+centro+comercial+canaveral&amp;sece=ypid.YN7758855A916B70D8&amp;ppois=7.071527481079102_-73.10704040527344_Entrada+Secundaria+-+Centro+Comercial+Ca%C3%B1averal_YNC4544A33189FF34C%7E7.0705718994140625_-73.10617065429688_Entrada+Principal+-+Centro+Comercial+Ca%C3%B1averal_YN7758855A916B70D8%7E&amp;segment=Retail&amp;cp=7.070572%7E-73.106171&amp;lvl=7&amp;style=r</t>
  </si>
  <si>
    <t>Foto: https://oxxo-colombia.oneapp.cl/static/img/Respuesta/63172270/9c2813dede708f4ff65dcc136a20d8d7.jpg
Foto: https://oxxo-colombia.oneapp.cl/static/img/Respuesta/63172270/f90569968d9a2605648e11719142d1fe.jpg</t>
  </si>
  <si>
    <t>7.070605485983002, -73.10553905819518</t>
  </si>
  <si>
    <t>19:25</t>
  </si>
  <si>
    <t>Santa isabela calle 3</t>
  </si>
  <si>
    <t>https://maps.app.goo.gl/mPEriJi82CJKdctc8?g_st=ac</t>
  </si>
  <si>
    <t>Foto: https://oxxo-colombia.oneapp.cl/static/img/Respuesta/63172624/16f64a1b013fa137a3baca6a7f2f9605.jpg
Foto: https://oxxo-colombia.oneapp.cl/static/img/Respuesta/63172624/4133496338cc64e8f89aa12e3b652549.jpg</t>
  </si>
  <si>
    <t>24/07/2026</t>
  </si>
  <si>
    <t>07:20</t>
  </si>
  <si>
    <t>Boyacá calle 54</t>
  </si>
  <si>
    <t>Cra. 72 #Calle 54, Engativá</t>
  </si>
  <si>
    <t>https://maps.app.goo.gl/WcJZpZR1WDn3aMew7?g_st=ac</t>
  </si>
  <si>
    <t>3224263319 -321 4619461</t>
  </si>
  <si>
    <t>Foto: https://oxxo-colombia.oneapp.cl/static/img/Respuesta/63210605/87bb73effdd53d613d5e5d89237a72c5.jpg
Foto: https://oxxo-colombia.oneapp.cl/static/img/Respuesta/63210605/e9281d24a03f80e79fb6308f61ade15c.jpg</t>
  </si>
  <si>
    <t>4.67096763143146, -74.10627311627897</t>
  </si>
  <si>
    <t>JUAN DIEGO GARCIA</t>
  </si>
  <si>
    <t>juan.garciadiaz@oxxo.com</t>
  </si>
  <si>
    <t>13:14</t>
  </si>
  <si>
    <t>Estadio</t>
  </si>
  <si>
    <t>Diamante 74</t>
  </si>
  <si>
    <t>Antioquia</t>
  </si>
  <si>
    <t>https://maps.app.goo.gl/9xoNxA6hMPpPfmUY7</t>
  </si>
  <si>
    <t>Foto: https://oxxo-colombia.oneapp.cl/static/img/Respuesta/63229185/70932c80ebd1b4397c05c529e13148d2.jpg</t>
  </si>
  <si>
    <t>14:19</t>
  </si>
  <si>
    <t>Edificio Messina</t>
  </si>
  <si>
    <t>Cra 19 #9352, Bogotá</t>
  </si>
  <si>
    <t>https://maps.app.goo.gl/qVPDTGyYWwahjkAp7?g_st=ac</t>
  </si>
  <si>
    <t>3004937535- 3102305745</t>
  </si>
  <si>
    <t>www.miamibrokersmbc.com</t>
  </si>
  <si>
    <t>Foto: https://oxxo-colombia.oneapp.cl/static/img/Respuesta/63231681/cc4b2aa03dc9b3c26c45ec24759218c2.jpg
Foto: https://oxxo-colombia.oneapp.cl/static/img/Respuesta/63231681/ace220beb318ccf86769f09b1b7dd88d.jpg</t>
  </si>
  <si>
    <t>4.678926908067848, -74.05448047647374</t>
  </si>
  <si>
    <t>JAIME GUTIERREZ</t>
  </si>
  <si>
    <t>LORENA BELTRAN</t>
  </si>
  <si>
    <t>lorena.beltran@oxxo.com</t>
  </si>
  <si>
    <t>La Aldea</t>
  </si>
  <si>
    <t>Kilómetro 7 vía Pereira a Armenia</t>
  </si>
  <si>
    <t>https://maps.app.goo.gl/JrkTt1eXML1QMxUc8</t>
  </si>
  <si>
    <t>Foto: https://oxxo-colombia.oneapp.cl/static/img/Respuesta/63234280/1eb00ebff368e6719f9c1bc3b3edb8fd.jpg</t>
  </si>
  <si>
    <t>John Nicolas Espinosa Ramirez</t>
  </si>
  <si>
    <t>john.espinosa@oxxo.com</t>
  </si>
  <si>
    <t>EDS la pista</t>
  </si>
  <si>
    <t>https://maps.app.goo.gl/kzskW8qdvmWNrmtU8?g_st=iw</t>
  </si>
  <si>
    <t>Receso</t>
  </si>
  <si>
    <t>‪315 3217754‬</t>
  </si>
  <si>
    <t>Dante.sandra72@gmail.com</t>
  </si>
  <si>
    <t>Foto: https://oxxo-colombia.oneapp.cl/static/img/Respuesta/63234643/fc05e86c5b9aa2c4db94266f19506d37.jpg</t>
  </si>
  <si>
    <t>Tabora 77</t>
  </si>
  <si>
    <t>https://maps.app.goo.gl/bgEumNMMgswLuWug8</t>
  </si>
  <si>
    <t>Foto: https://oxxo-colombia.oneapp.cl/static/img/Respuesta/63235378/ba7e80d8123a945309a14b94fa26aff4.jpg</t>
  </si>
  <si>
    <t>MILENA GONZALEZ</t>
  </si>
  <si>
    <t>ana.gonzalez@oxxo.com</t>
  </si>
  <si>
    <t>Carrera 15 con 117</t>
  </si>
  <si>
    <t>https://maps.app.goo.gl/jdeQFRYYpEDtfF3c8</t>
  </si>
  <si>
    <t>Foto: https://oxxo-colombia.oneapp.cl/static/img/Respuesta/63235652/1fb2d400043bca38cf104da0f63ee849.jpg</t>
  </si>
  <si>
    <t>Punto duplicado y descartado (Av cra 15- Daniela Menasse)</t>
  </si>
  <si>
    <t>Oxxo Altamar</t>
  </si>
  <si>
    <t>Cra91#127c25</t>
  </si>
  <si>
    <t>https://maps.app.goo.gl/PxTZKoG3Fzs2hRSV6?g_st=ac</t>
  </si>
  <si>
    <t>Foto: https://oxxo-colombia.oneapp.cl/static/img/Respuesta/63235704/1cbcf88bc193677f42e920ff2e2cedc4.jpg</t>
  </si>
  <si>
    <t>Carrera 15 -116</t>
  </si>
  <si>
    <t>https://maps.app.goo.gl/8mb4UcCPc2SYD4bm7</t>
  </si>
  <si>
    <t>3204994000 - 3229007098</t>
  </si>
  <si>
    <t>Foto: https://oxxo-colombia.oneapp.cl/static/img/Respuesta/63235758/c10391636aa52d896f9c53fc97b340ed.jpg</t>
  </si>
  <si>
    <t>Cerros de suba</t>
  </si>
  <si>
    <t>https://maps.app.goo.gl/FtHvRa2r8ixdKF4D6?g_st=ac</t>
  </si>
  <si>
    <t>601 7042160</t>
  </si>
  <si>
    <t>Cerrosdesubaph@gmail.com</t>
  </si>
  <si>
    <t>Foto: https://oxxo-colombia.oneapp.cl/static/img/Respuesta/63235871/7145912e4d14bfd5caa7936f3a4fec12.jpg</t>
  </si>
  <si>
    <t>Omar Beltran</t>
  </si>
  <si>
    <t>omar.beltrannovoa@oxxo.com</t>
  </si>
  <si>
    <t>Fontibón la Cabaña</t>
  </si>
  <si>
    <t xml:space="preserve"> https://share.google/lYnJlkz6QEAOyEUjH</t>
  </si>
  <si>
    <t>Nixon Rojas</t>
  </si>
  <si>
    <t>nixon1869@gmail.com</t>
  </si>
  <si>
    <t>Foto: https://oxxo-colombia.oneapp.cl/static/img/Respuesta/63235847/6b506c7cab4e01f44d9398d3f2f8e012.jpg</t>
  </si>
  <si>
    <t>116 con 16</t>
  </si>
  <si>
    <t>https://maps.app.goo.gl/We16jmS8NyUGf58B9?g_st=ac</t>
  </si>
  <si>
    <t>Foto: https://oxxo-colombia.oneapp.cl/static/img/Respuesta/63236023/ac75ede8715a9f362f4a8edbdac1b1ba.jpg</t>
  </si>
  <si>
    <t>Santa Helena cr 80</t>
  </si>
  <si>
    <t>Santa Real 80</t>
  </si>
  <si>
    <t>Cr 80 no 71 14</t>
  </si>
  <si>
    <t>https://maps.app.goo.gl/5mWFmMDmeqUZdebx5?g_st=ac</t>
  </si>
  <si>
    <t>No se tiene</t>
  </si>
  <si>
    <t>Foto: https://oxxo-colombia.oneapp.cl/static/img/Respuesta/63236045/61f38cb8a2537eb126a93f4752a4f3cf.jpg</t>
  </si>
  <si>
    <t>Av cali 46 sur</t>
  </si>
  <si>
    <t>Av cali no 43 sur 46</t>
  </si>
  <si>
    <t>https://maps.app.goo.gl/PMevYe65TjPxJGpC6?g_st=ac</t>
  </si>
  <si>
    <t>Foto: https://oxxo-colombia.oneapp.cl/static/img/Respuesta/63236068/c868ccb2be43c2d4111c12a827094da7.jpg</t>
  </si>
  <si>
    <t>Calle 72</t>
  </si>
  <si>
    <t>https://maps.app.goo.gl/HzUx1Jk4129XH5uB8</t>
  </si>
  <si>
    <t>Foto: https://oxxo-colombia.oneapp.cl/static/img/Respuesta/63236267/086de637da14c4093d2c2bbe9e337aab.jpg</t>
  </si>
  <si>
    <t>Vasquez Cobos (Cali)</t>
  </si>
  <si>
    <t>Valle</t>
  </si>
  <si>
    <t>Avenida 2 B Norte # 25 N 15</t>
  </si>
  <si>
    <t>https://maps.app.goo.gl/7u7woAW25HSBe6hF7</t>
  </si>
  <si>
    <t>Foto: https://oxxo-colombia.oneapp.cl/static/img/Respuesta/63283434/7cc75b63444a0be61f41df29f8e2f7fe.jpg</t>
  </si>
  <si>
    <t>DANIEL RAMIREZ</t>
  </si>
  <si>
    <t>oscar.ramirez@oxxo.com</t>
  </si>
  <si>
    <t>Oxxo Venecia</t>
  </si>
  <si>
    <t>Claret 45 sur</t>
  </si>
  <si>
    <t>Diagonal 45 sur # 53-26</t>
  </si>
  <si>
    <t>https://waze.com/ul?a=share_drive&amp;locale=en&amp;sd=8V1N9lyGxeYy2cyyFQ-sd&amp;env=row&amp;utm_source=waze_app&amp;utm_campaign=share_drive</t>
  </si>
  <si>
    <t>Foto: https://oxxo-colombia.oneapp.cl/static/img/Respuesta/63290615/fe38ff36a53c7b1ce4c348c31beafeea.jpg</t>
  </si>
  <si>
    <t>Fabian Cardozo</t>
  </si>
  <si>
    <t>fabian.cardozo@oxxo.com</t>
  </si>
  <si>
    <t>Bochalema plaza</t>
  </si>
  <si>
    <t>Calle 25 -109, vía jamundi cali</t>
  </si>
  <si>
    <t>https://maps.app.goo.gl/xLtFdzwmwgZb9LkR8?g_st=ac</t>
  </si>
  <si>
    <t>Foto: https://oxxo-colombia.oneapp.cl/static/img/Respuesta/63291098/925b5afb34e9d861486cda56304edf36.jpg</t>
  </si>
  <si>
    <t>Eds Calle 45</t>
  </si>
  <si>
    <t>Av quito (cr 30) con cr 45</t>
  </si>
  <si>
    <t>https://maps.app.goo.gl/MUSPvnJZHx1MypYo7?g_st=ac</t>
  </si>
  <si>
    <t>Foto: https://oxxo-colombia.oneapp.cl/static/img/Respuesta/63293537/48e2c5117bc1a0a0052f685f2e7aa552.jpg</t>
  </si>
  <si>
    <t>Sanfernando72</t>
  </si>
  <si>
    <t>Calle 7269b 42</t>
  </si>
  <si>
    <t>https://maps.app.goo.gl/j5WYVr4kxC7cGkAD7?g_st=ac</t>
  </si>
  <si>
    <t>Foto: https://oxxo-colombia.oneapp.cl/static/img/Respuesta/63293647/9188c0495b21b3c3d21ec7a66cbd5560.jpg</t>
  </si>
  <si>
    <t>Española 76</t>
  </si>
  <si>
    <t>Trans v 76 83a 83</t>
  </si>
  <si>
    <t>https://maps.app.goo.gl/qQ9pDY39yvugjvXw6?g_st=ac</t>
  </si>
  <si>
    <t>Foto: https://oxxo-colombia.oneapp.cl/static/img/Respuesta/63293713/30ff14b7ee68ac494983b41968add7a0.jpg</t>
  </si>
  <si>
    <t>Nuestro cartago</t>
  </si>
  <si>
    <t>Centro comercial nuestro cartago local 101 abc</t>
  </si>
  <si>
    <t>Centro comercial nuestro</t>
  </si>
  <si>
    <t>Foto: https://oxxo-colombia.oneapp.cl/static/img/Respuesta/63294087/8e132cc7d7522521b5f96d14bd4e2184.jpg</t>
  </si>
  <si>
    <t>Cascabel cartago</t>
  </si>
  <si>
    <t>Carrera 2 28-173 cartago valle</t>
  </si>
  <si>
    <t>https://maps.app.goo.gl/fo9rHJK6f2fgyKv67?g_st=ac</t>
  </si>
  <si>
    <t>Laura Rodriguez 3137283885</t>
  </si>
  <si>
    <t>No correo</t>
  </si>
  <si>
    <t>Foto: https://oxxo-colombia.oneapp.cl/static/img/Respuesta/63294600/7253b93995d8241c71ecc67ada873de3.jpg</t>
  </si>
  <si>
    <t>Cascabel 2</t>
  </si>
  <si>
    <t>Carrera 2 calle 25</t>
  </si>
  <si>
    <t>https://maps.app.goo.gl/DcaXAMLmX1ce6YETA?g_st=ac</t>
  </si>
  <si>
    <t>Laura rodriguez 3137283885</t>
  </si>
  <si>
    <t>Foto: https://oxxo-colombia.oneapp.cl/static/img/Respuesta/63294622/fccf04f93e0c28772b29a0162ac620e3.jpg</t>
  </si>
  <si>
    <t>Parque Bolívar Cartago</t>
  </si>
  <si>
    <t>Calle 12 4-20</t>
  </si>
  <si>
    <t>https://maps.app.goo.gl/b131Rb364e84ymVp7?g_st=ac</t>
  </si>
  <si>
    <t>Foto: https://oxxo-colombia.oneapp.cl/static/img/Respuesta/63294725/7a5a93d337453201c642d86559be42f6.jpg</t>
  </si>
  <si>
    <t>Filandia</t>
  </si>
  <si>
    <t>Cra 5 # 7 - 42</t>
  </si>
  <si>
    <t>https://maps.app.goo.gl/DJBmRXqQasd2Vk147</t>
  </si>
  <si>
    <t>Foto: https://oxxo-colombia.oneapp.cl/static/img/Respuesta/63339353/7705c68cb3cdebfb03b58f15fa9ec0c1.jpg</t>
  </si>
  <si>
    <t xml:space="preserve">Parkway 116 </t>
  </si>
  <si>
    <t>Calle 116 n 17 13</t>
  </si>
  <si>
    <t>https://maps.app.goo.gl/zSQCn9i6jww5XLox7?g_st=aw</t>
  </si>
  <si>
    <t>6014256000 Recepción de challenguer. Ellos dan los datos del arrendador</t>
  </si>
  <si>
    <t>Foto: https://oxxo-colombia.oneapp.cl/static/img/Respuesta/63387714/f124d584558a775b084329f8f42f49cf.jpg</t>
  </si>
  <si>
    <t>Absolut 123</t>
  </si>
  <si>
    <t>Av cr 19 no 123 82</t>
  </si>
  <si>
    <t>https://maps.app.goo.gl/AhW911b84Yas6EB19?g_st=aw</t>
  </si>
  <si>
    <t>3023199009 3106137457</t>
  </si>
  <si>
    <t>Foto: https://oxxo-colombia.oneapp.cl/static/img/Respuesta/63388027/680b1b6f582e2dd2d7445085ee62dc31.jpg</t>
  </si>
  <si>
    <t>Atabanza 2</t>
  </si>
  <si>
    <t>Callejas 53</t>
  </si>
  <si>
    <t>Cr 53 a 127 27</t>
  </si>
  <si>
    <t>https://maps.app.goo.gl/W19H25CexMXZWCyc8?g_st=aw</t>
  </si>
  <si>
    <t>Resident 3112072457</t>
  </si>
  <si>
    <t>Foto: https://oxxo-colombia.oneapp.cl/static/img/Respuesta/63388253/8450c81c64856218bb75aca92028cb1f.jpg</t>
  </si>
  <si>
    <t>Indigo 116</t>
  </si>
  <si>
    <t>Calle 116 n 16 78</t>
  </si>
  <si>
    <t>https://maps.app.goo.gl/YQ3EaDo6RE4ZJ3wy8?g_st=aw</t>
  </si>
  <si>
    <t>Foto : https://oxxo-colombia.oneapp.cl/static/img/Respuesta/63388428/172038a89dc04695c868088d514e5543.jpg</t>
  </si>
  <si>
    <t>Descartado por punto duplicado (116 con 16- Milena Gonzalez)</t>
  </si>
  <si>
    <t>Gaviria</t>
  </si>
  <si>
    <t>Ak 15 #93-99 a 93-21, Bogotá</t>
  </si>
  <si>
    <t>https://maps.app.goo.gl/2ZJ6y54pUYk9vjcF6?g_st=ac</t>
  </si>
  <si>
    <t>a.arias@naigaviria.com</t>
  </si>
  <si>
    <t>Foto: https://oxxo-colombia.oneapp.cl/static/img/Respuesta/63393109/ef98d3e838bb69e0a3158b1069057235.jpg</t>
  </si>
  <si>
    <t>Oxxo Spid</t>
  </si>
  <si>
    <t>Ak 15 #93-53, Bogotá</t>
  </si>
  <si>
    <t>https://maps.app.goo.gl/8ydjruyoHP8sGb538</t>
  </si>
  <si>
    <t>Foto: https://oxxo-colombia.oneapp.cl/static/img/Respuesta/63393355/30fd5d94d97855af9d13c23b09032a59.jpg</t>
  </si>
  <si>
    <t>Calle 94</t>
  </si>
  <si>
    <t>Cr 11A#94-12</t>
  </si>
  <si>
    <t>https://maps.app.goo.gl/WCjMYbsnnYidbw3m6?g_st=ac</t>
  </si>
  <si>
    <t>.</t>
  </si>
  <si>
    <t>Foto: https://oxxo-colombia.oneapp.cl/static/img/Respuesta/63394453/4ce43c6a140a896060f568d78a9c6b47.jpg</t>
  </si>
  <si>
    <t>CENTER 94</t>
  </si>
  <si>
    <t>Cra 11a#94-45</t>
  </si>
  <si>
    <t>https://maps.app.goo.gl/H38s6ufbLT2AYCts9?g_st=ac</t>
  </si>
  <si>
    <t>Foto: https://oxxo-colombia.oneapp.cl/static/img/Respuesta/63394569/5e176010cd3a3d3e5cef11dfd46a4adc.jpg</t>
  </si>
  <si>
    <t>Luis Felipe Rodelo Bohorquez</t>
  </si>
  <si>
    <t>luis.rodelob@oxxo.com</t>
  </si>
  <si>
    <t>Betania</t>
  </si>
  <si>
    <t>Calle 51 sur # 86A -83</t>
  </si>
  <si>
    <t>https://maps.app.goo.gl/k1gwEEtxGUx6kpUJA</t>
  </si>
  <si>
    <t>Josewilliam071313@gmail.com</t>
  </si>
  <si>
    <t>Foto: https://oxxo-colombia.oneapp.cl/static/img/Respuesta/63401994/a2d2c202bcad290c05f7064100e1b996.jpg</t>
  </si>
  <si>
    <t>Carrera 50</t>
  </si>
  <si>
    <t>Cr 50 18 a 15</t>
  </si>
  <si>
    <t>https://maps.app.goo.gl/xWHbEcBVLLShy7rY8</t>
  </si>
  <si>
    <t>3507055002 Henry zapata</t>
  </si>
  <si>
    <t>Abogadohzf@gmail.com</t>
  </si>
  <si>
    <t>Foto: https://oxxo-colombia.oneapp.cl/static/img/Respuesta/63380340/dd79b6fe5bba15fc123c186fe236a1da.jpg</t>
  </si>
  <si>
    <t>4.632029931030604, -74.10366461404</t>
  </si>
  <si>
    <t>KATERIN DIAZ ZORRO</t>
  </si>
  <si>
    <t>9na Cedritos</t>
  </si>
  <si>
    <t>Cra 9 #145-84</t>
  </si>
  <si>
    <t>https://maps.app.goo.gl/9gHjCQ8JNhUSZAr89</t>
  </si>
  <si>
    <t>Foto: https://oxxo-colombia.oneapp.cl/static/img/Respuesta/63397732/f30122521ce1f02acb830415f1166331.jpg</t>
  </si>
  <si>
    <t>4.72384009350718, -74.03209848668541</t>
  </si>
  <si>
    <t>Castellana carrera 30</t>
  </si>
  <si>
    <t>Avenida Carrera 30 # 86-47</t>
  </si>
  <si>
    <t>https://maps.app.goo.gl/9be5Sa4knHdePcCg7</t>
  </si>
  <si>
    <t>No qplica</t>
  </si>
  <si>
    <t>Foto: https://oxxo-colombia.oneapp.cl/static/img/Respuesta/63400250/fe4023da6d233af07cc9ae77e06bbf53.jpg</t>
  </si>
  <si>
    <t>4.675686756913115, -74.0652372367865</t>
  </si>
  <si>
    <t>Oxxo La 94</t>
  </si>
  <si>
    <t>Cra 11 a # 94 - 12</t>
  </si>
  <si>
    <t>https://maps.app.goo.gl/pzvqEkXRQ1FXBKRe7</t>
  </si>
  <si>
    <t>4.677963434356992, -74.04675254232723</t>
  </si>
  <si>
    <t>Descartado por punto duplicado (Calle 94- Hermis Cuicas)</t>
  </si>
  <si>
    <t>Kennedy 37</t>
  </si>
  <si>
    <t>Cra. 78k #37a Sur68, Bogotá</t>
  </si>
  <si>
    <t>https://maps.app.goo.gl/aaDoeSBT3xWo4jV39</t>
  </si>
  <si>
    <t>Foto: https://oxxo-colombia.oneapp.cl/static/img/Respuesta/63470672/ee68e71181e2f90364fcf0ea3365e8f0.jpg</t>
  </si>
  <si>
    <t>4.623622571738254, -74.15362822719047</t>
  </si>
  <si>
    <t>Oxxo Chico Cra 11</t>
  </si>
  <si>
    <t>Calle 95 # 11 -60 (Al frente del edificio LG)</t>
  </si>
  <si>
    <t>https://maps.app.goo.gl/ymfHXiNdeYS13h6z5</t>
  </si>
  <si>
    <t>3155931561 3155931557</t>
  </si>
  <si>
    <t>Foto: https://oxxo-colombia.oneapp.cl/static/img/Respuesta/63472069/f53bdcedd8d975c27547092f9995220b.jpg</t>
  </si>
  <si>
    <t>4.67938545460112, -74.04557085767277</t>
  </si>
  <si>
    <t>Kennedy tequendama</t>
  </si>
  <si>
    <t>Kra 78k # 37 a 80 s</t>
  </si>
  <si>
    <t>https://maps.app.goo.gl/wWKVF48JrE8q8e8h8?g_st=ac</t>
  </si>
  <si>
    <t>Foto: https://oxxo-colombia.oneapp.cl/static/img/Respuesta/63472348/12261a71bb8bb40f9cbf719a9710877a.jpg</t>
  </si>
  <si>
    <t>4.623552348109578, -74.15395872883639</t>
  </si>
  <si>
    <t>Normandia 70</t>
  </si>
  <si>
    <t>Av. 70 #54-61, Bogotá</t>
  </si>
  <si>
    <t>https://maps.app.goo.gl/GBScWx7NhvVVE3s48?g_st=ac</t>
  </si>
  <si>
    <t>Foto https://oxxo-colombia.oneapp.cl/static/img/Respuesta/63473872/8ced33c2aa175cdc87cce1e11e84289d.jpg</t>
  </si>
  <si>
    <t>4.6698794508705666, -74.10289015767279</t>
  </si>
  <si>
    <t>Restrepo Olaya</t>
  </si>
  <si>
    <t>CRA 19 a sur 63 191</t>
  </si>
  <si>
    <t>https://maps.app.goo.gl/31DhpNG6HC1Mw5bK8?g_st=aw</t>
  </si>
  <si>
    <t>Henry hernandez</t>
  </si>
  <si>
    <t>Henry_h_er@Hotmail.com</t>
  </si>
  <si>
    <t>Foto: https://oxxo-colombia.oneapp.cl/static/img/Respuesta/63479989/0d67d0038cba0e2747d103ff8d71578a.jpg</t>
  </si>
  <si>
    <t>4.5699852794208375, -74.08211546265599</t>
  </si>
  <si>
    <t>Calle 116</t>
  </si>
  <si>
    <t>Av calle 116 con carrera 12</t>
  </si>
  <si>
    <t>https://maps.app.goo.gl/BqY1MVoo2UJSq6Sj9</t>
  </si>
  <si>
    <t>Henry_h_er@hotmail.com</t>
  </si>
  <si>
    <t>Foto: https://oxxo-colombia.oneapp.cl/static/img/Respuesta/63480559/b4e8d1bb66dbafb897aca7ddf8cf17fe.jpg</t>
  </si>
  <si>
    <t>4.695679642193723, -74.03914328650917</t>
  </si>
  <si>
    <t>CRISTIAN ESTUPIÑAN</t>
  </si>
  <si>
    <t>Parque de la independencia</t>
  </si>
  <si>
    <t>Cr 5 no 4-58</t>
  </si>
  <si>
    <t>https://maps.app.goo.gl/g2fFnMnz5Zvc15pd8?g_st=aw</t>
  </si>
  <si>
    <t>Foto: https://oxxo-colombia.oneapp.cl/static/img/Respuesta/63481463/ec3b5f4110968e87a1580adf4a6fa097.jpg</t>
  </si>
  <si>
    <t>5.024507752203895, -74.00554808465444</t>
  </si>
  <si>
    <t>Santa rita sur</t>
  </si>
  <si>
    <t>Carrera 39 33-06 sur</t>
  </si>
  <si>
    <t>https://maps.app.goo.gl/nhxsEgVNz5Babgvk8?g_st=ac</t>
  </si>
  <si>
    <t>Reinmobiliariasas.com</t>
  </si>
  <si>
    <t>www.reinmobiliariasas.com</t>
  </si>
  <si>
    <t>Foto:https://oxxo-colombia.oneapp.cl/static/img/Respuesta/63529823/f58ab9834d6b9f66c1f7467cadc39438.jpg</t>
  </si>
  <si>
    <t>4.602278216957434, -74.11810291534557</t>
  </si>
  <si>
    <t>Santa rita sur oriental</t>
  </si>
  <si>
    <t>Carrera 39 33-16 sur</t>
  </si>
  <si>
    <t>Foto: https://oxxo-colombia.oneapp.cl/static/img/Respuesta/63531072/40f0ec34b6a6d208a3be21783609d112.jpg</t>
  </si>
  <si>
    <t>4.602363770894242, -74.11806000000001</t>
  </si>
  <si>
    <t>Dapa</t>
  </si>
  <si>
    <t>Cl 10 # 28 - 150</t>
  </si>
  <si>
    <t>https://maps.app.goo.gl/pxREnmWsp615k6Tm6?g_st=ac</t>
  </si>
  <si>
    <t>3138059943 (572)6959199</t>
  </si>
  <si>
    <t>gerencia@crucerodapa.co www.crucerodapa.co</t>
  </si>
  <si>
    <t>Foto: https://oxxo-colombia.oneapp.cl/static/img/Respuesta/63542159/8c778d83efbfb90bada865369b9af7ea.jpg</t>
  </si>
  <si>
    <t>3.5199571719370004, -76.518046</t>
  </si>
  <si>
    <t>Guaymaral</t>
  </si>
  <si>
    <t>Kr 55 # 232 65</t>
  </si>
  <si>
    <t>https://maps.app.goo.gl/EWerdR7AGb8aMJ3H7?g_st=awb</t>
  </si>
  <si>
    <t>Foto: https://oxxo-colombia.oneapp.cl/static/img/Respuesta/63544029/695857ab517fc87a28d8771d12e45a5d.jpg</t>
  </si>
  <si>
    <t>4.8104942761449685, -74.04584827116359</t>
  </si>
  <si>
    <t>Santa Monica</t>
  </si>
  <si>
    <t>6 Bis - 36</t>
  </si>
  <si>
    <t>https://maps.app.goo.gl/NXWr1QaBXb9ygttZ8?g_st=ac</t>
  </si>
  <si>
    <t>Foto: https://oxxo-colombia.oneapp.cl/static/img/Respuesta/63546844/38eb463ec99868d56379ebddff280999.jpg</t>
  </si>
  <si>
    <t>3.467866765440696, -76.53069099999999</t>
  </si>
  <si>
    <t>(Varios elementos)</t>
  </si>
  <si>
    <t>Etiquetas de fila</t>
  </si>
  <si>
    <t xml:space="preserve">Cuenta de Nombre del Punto </t>
  </si>
  <si>
    <t>Total general</t>
  </si>
  <si>
    <t>JOHN ALEJANDRO ALZATE ALZATE</t>
  </si>
  <si>
    <t>Puntos potenciales</t>
  </si>
  <si>
    <t>Especialistas</t>
  </si>
  <si>
    <t>Gestores</t>
  </si>
  <si>
    <t>Razón de descarte</t>
  </si>
  <si>
    <t>Lina Diaz</t>
  </si>
  <si>
    <t>Martha Lopez</t>
  </si>
  <si>
    <t>Condiciones comerciales</t>
  </si>
  <si>
    <t>Carlos Bolaños</t>
  </si>
  <si>
    <t>Rentado a otra marca</t>
  </si>
  <si>
    <t>ALEJANDRA ROJAS ROMERO</t>
  </si>
  <si>
    <t>Condiciones Jurídicas</t>
  </si>
  <si>
    <t>Zonas no prioritaria</t>
  </si>
  <si>
    <t>VALENTINA VALENCIA</t>
  </si>
  <si>
    <t>Vigencia de contrato</t>
  </si>
  <si>
    <t>LAURA AVILA</t>
  </si>
  <si>
    <t>Renta del inmueble</t>
  </si>
  <si>
    <t>Cláusula penal /Contrato</t>
  </si>
  <si>
    <t>Opción de proyecto con mejor potencial</t>
  </si>
  <si>
    <t>SAGRILAFT</t>
  </si>
  <si>
    <t>Yesenia Aritizabal</t>
  </si>
  <si>
    <t>Pedro</t>
  </si>
  <si>
    <t>Norte</t>
  </si>
  <si>
    <t>Juan Pablo</t>
  </si>
  <si>
    <t>Sur</t>
  </si>
  <si>
    <t>Caribe</t>
  </si>
  <si>
    <t>Diego Rodriguez</t>
  </si>
  <si>
    <t>Centro Sur</t>
  </si>
  <si>
    <t xml:space="preserve">Eje Cafetero </t>
  </si>
  <si>
    <t xml:space="preserve">Oriente </t>
  </si>
  <si>
    <t>Meta</t>
  </si>
  <si>
    <t>COD ESP</t>
  </si>
  <si>
    <t>Especialista</t>
  </si>
  <si>
    <t>Micro_Bog_1</t>
  </si>
  <si>
    <t>GONZALEZ GOMEZ JURY CAROLINA</t>
  </si>
  <si>
    <t>Micro_Bog_2</t>
  </si>
  <si>
    <t>TORRES MARTINEZ CINDY YESENIA</t>
  </si>
  <si>
    <t>Esp_1</t>
  </si>
  <si>
    <t>DIAZ ORTIZ LINA</t>
  </si>
  <si>
    <t>Esp_2</t>
  </si>
  <si>
    <t>ACUNA ROJAS JENNY</t>
  </si>
  <si>
    <t>Esp_3</t>
  </si>
  <si>
    <t>MEJIA TUTA LEIDY</t>
  </si>
  <si>
    <t>Esp_4</t>
  </si>
  <si>
    <t>LOPEZ CANDAMIL MARTHA LILIANA</t>
  </si>
  <si>
    <t>Esp_5</t>
  </si>
  <si>
    <t>BOLAÑOS DIAZ CARLOS</t>
  </si>
  <si>
    <t>Esp_6</t>
  </si>
  <si>
    <t>Rojas Romero Alejandra</t>
  </si>
  <si>
    <t>Micro_Med_1</t>
  </si>
  <si>
    <t>JORGE WILLIAM GRANADOS RUIZ</t>
  </si>
  <si>
    <t>Esp_7</t>
  </si>
  <si>
    <t>HECTOR DUQUE</t>
  </si>
  <si>
    <t>hector.duque@oxxo.com</t>
  </si>
  <si>
    <t>Unete Colombia</t>
  </si>
  <si>
    <t>Expansión</t>
  </si>
  <si>
    <t>Antena 10 - 10101</t>
  </si>
  <si>
    <t>Ocasional</t>
  </si>
  <si>
    <t>Resultados</t>
  </si>
  <si>
    <t>Provenza</t>
  </si>
  <si>
    <t>Foto</t>
  </si>
  <si>
    <t>https://maps.app.goo.gl/frLXqaF35ahohnk99?g_st=ac</t>
  </si>
  <si>
    <t>Provenza 36</t>
  </si>
  <si>
    <t>https://maps.app.goo.gl/hqfjgAbGBaspaH95A?g_st=ac</t>
  </si>
  <si>
    <t>Yilver Torrealba</t>
  </si>
  <si>
    <t>yilver.torrealba@oxxo.com</t>
  </si>
  <si>
    <t>Antena 3 - 33333</t>
  </si>
  <si>
    <t>EL JARDÍN</t>
  </si>
  <si>
    <t>https://maps.app.goo.gl/voKD1MPcMSSX6yiD7</t>
  </si>
  <si>
    <t>elvia.jaimes@oxxo.com</t>
  </si>
  <si>
    <t>Antena 9 - 99999</t>
  </si>
  <si>
    <t>CC Tunal</t>
  </si>
  <si>
    <t>https://maps.app.goo.gl/ZQ9uqt2Ag6oU7LWDA?g_st=ac</t>
  </si>
  <si>
    <t>Meta visitas normal</t>
  </si>
  <si>
    <t>Meta visitas Festivo</t>
  </si>
  <si>
    <t>Efectivos</t>
  </si>
  <si>
    <t>Microcelula</t>
  </si>
  <si>
    <t>Concat</t>
  </si>
  <si>
    <t>Fecha Festivo</t>
  </si>
  <si>
    <t>Día</t>
  </si>
  <si>
    <t>Nombre del Festivo</t>
  </si>
  <si>
    <t>Tipo / Nota</t>
  </si>
  <si>
    <t>2025-01-01</t>
  </si>
  <si>
    <t>Miércoles</t>
  </si>
  <si>
    <t>Año Nuevo</t>
  </si>
  <si>
    <t>Fijo</t>
  </si>
  <si>
    <t>2025-01-06</t>
  </si>
  <si>
    <t>Lunes</t>
  </si>
  <si>
    <t>Día de los Reyes Magos</t>
  </si>
  <si>
    <t>Ley Emiliani</t>
  </si>
  <si>
    <t>2025-03-24</t>
  </si>
  <si>
    <t>Día de San José</t>
  </si>
  <si>
    <t>2025-04-17</t>
  </si>
  <si>
    <t>Jueves</t>
  </si>
  <si>
    <t>Jueves Santo</t>
  </si>
  <si>
    <t>Semana Santa</t>
  </si>
  <si>
    <t>2025-04-18</t>
  </si>
  <si>
    <t>Viernes</t>
  </si>
  <si>
    <t>Viernes Santo</t>
  </si>
  <si>
    <t>2025-05-01</t>
  </si>
  <si>
    <t>Día del Trabajo</t>
  </si>
  <si>
    <t>2025-06-02</t>
  </si>
  <si>
    <t>Día de la Ascensión</t>
  </si>
  <si>
    <t>2025-06-23</t>
  </si>
  <si>
    <t>Corpus Christi</t>
  </si>
  <si>
    <t>2025-06-30</t>
  </si>
  <si>
    <t>Sagrado Corazón / San Pedro y San Pablo</t>
  </si>
  <si>
    <t>2025-07-20</t>
  </si>
  <si>
    <t>Domingo</t>
  </si>
  <si>
    <t>Día de la Independencia</t>
  </si>
  <si>
    <t>2025-08-07</t>
  </si>
  <si>
    <t>Batalla de Boyacá</t>
  </si>
  <si>
    <t>2025-08-18</t>
  </si>
  <si>
    <t>Asunción de la Virgen</t>
  </si>
  <si>
    <t>2025-10-13</t>
  </si>
  <si>
    <t>Día de la Raza</t>
  </si>
  <si>
    <t>2025-11-03</t>
  </si>
  <si>
    <t>Día de Todos los Santos</t>
  </si>
  <si>
    <t>2025-11-17</t>
  </si>
  <si>
    <t>Independencia de Cartagena</t>
  </si>
  <si>
    <t>2025-12-08</t>
  </si>
  <si>
    <t>Inmaculada Concepción</t>
  </si>
  <si>
    <t>2025-12-25</t>
  </si>
  <si>
    <t>Navidad</t>
  </si>
  <si>
    <t>2026-01-01</t>
  </si>
  <si>
    <t>2026-01-12</t>
  </si>
  <si>
    <t>2026-03-23</t>
  </si>
  <si>
    <t>2026-04-02</t>
  </si>
  <si>
    <t>2026-04-03</t>
  </si>
  <si>
    <t>2026-05-01</t>
  </si>
  <si>
    <t>2026-04-18</t>
  </si>
  <si>
    <t>Día de la Ascensión del Señor</t>
  </si>
  <si>
    <t>2026-06-08</t>
  </si>
  <si>
    <t>2026-06-15</t>
  </si>
  <si>
    <t>Sagrado Corazón de Jesús</t>
  </si>
  <si>
    <t>2026-06-29</t>
  </si>
  <si>
    <t>San Pedro y San Pablo</t>
  </si>
  <si>
    <t>2026-07-09</t>
  </si>
  <si>
    <t>Virgen de Chiquinquirá</t>
  </si>
  <si>
    <t>Nuevo Festivo (Ley 2424)</t>
  </si>
  <si>
    <t>2026-07-20</t>
  </si>
  <si>
    <t>2026-08-07</t>
  </si>
  <si>
    <t>2026-08-17</t>
  </si>
  <si>
    <t>2026-10-12</t>
  </si>
  <si>
    <t>2026-11-02</t>
  </si>
  <si>
    <t>2026-11-16</t>
  </si>
  <si>
    <t>2026-12-08</t>
  </si>
  <si>
    <t>Martes</t>
  </si>
  <si>
    <t>2026-12-25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</si>
</sst>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h:mm"/>
  </numFmts>
  <fonts count="26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Calibri"/>
      <family val="2"/>
    </font>
    <font>
      <b/>
      <sz val="11"/>
      <color rgb="FFFFFFFF"/>
      <name val="Calibri"/>
      <family val="2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b/>
      <sz val="10"/>
      <color rgb="FF000000"/>
      <name val="Calibri"/>
      <family val="2"/>
    </font>
    <font>
      <b/>
      <sz val="11"/>
      <color rgb="FF000000"/>
      <name val="Calibri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2F6FA"/>
        <bgColor rgb="FFF2F6FA"/>
      </patternFill>
    </fill>
    <fill>
      <patternFill patternType="solid">
        <fgColor rgb="FFFFFFFF"/>
        <bgColor rgb="FFFFFFFF"/>
      </patternFill>
    </fill>
    <fill>
      <patternFill patternType="solid">
        <fgColor rgb="FF1F4E79"/>
        <bgColor rgb="FF1F4E79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theme="4" tint="0.79998168889431442"/>
        <bgColor rgb="FF000000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33">
    <xf numFmtId="0" fontId="0" fillId="0" borderId="0" xfId="0"/>
    <xf numFmtId="0" fontId="19" fillId="0" borderId="11" xfId="42" applyBorder="1" applyAlignment="1">
      <alignment wrapText="1"/>
    </xf>
    <xf numFmtId="0" fontId="18" fillId="0" borderId="0" xfId="0" applyFont="1" applyAlignment="1">
      <alignment horizontal="center" vertical="center" wrapText="1"/>
    </xf>
    <xf numFmtId="0" fontId="20" fillId="33" borderId="12" xfId="0" applyFont="1" applyFill="1" applyBorder="1" applyAlignment="1">
      <alignment horizontal="left"/>
    </xf>
    <xf numFmtId="0" fontId="20" fillId="33" borderId="12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left"/>
    </xf>
    <xf numFmtId="0" fontId="21" fillId="35" borderId="12" xfId="0" applyFont="1" applyFill="1" applyBorder="1" applyAlignment="1">
      <alignment horizontal="center" vertical="center"/>
    </xf>
    <xf numFmtId="0" fontId="22" fillId="0" borderId="11" xfId="0" applyFont="1" applyBorder="1" applyAlignment="1">
      <alignment wrapText="1"/>
    </xf>
    <xf numFmtId="0" fontId="23" fillId="0" borderId="11" xfId="0" applyFont="1" applyBorder="1" applyAlignment="1">
      <alignment wrapText="1"/>
    </xf>
    <xf numFmtId="14" fontId="22" fillId="0" borderId="11" xfId="0" applyNumberFormat="1" applyFont="1" applyBorder="1" applyAlignment="1">
      <alignment wrapText="1"/>
    </xf>
    <xf numFmtId="20" fontId="22" fillId="0" borderId="11" xfId="0" applyNumberFormat="1" applyFont="1" applyBorder="1" applyAlignment="1">
      <alignment wrapText="1"/>
    </xf>
    <xf numFmtId="0" fontId="24" fillId="0" borderId="11" xfId="0" applyFont="1" applyBorder="1" applyAlignment="1">
      <alignment wrapText="1"/>
    </xf>
    <xf numFmtId="0" fontId="0" fillId="0" borderId="0" xfId="0" applyAlignment="1">
      <alignment horizontal="center"/>
    </xf>
    <xf numFmtId="0" fontId="0" fillId="36" borderId="0" xfId="0" applyFill="1"/>
    <xf numFmtId="0" fontId="25" fillId="37" borderId="10" xfId="0" applyFont="1" applyFill="1" applyBorder="1" applyAlignment="1">
      <alignment horizontal="center" vertical="center" wrapText="1"/>
    </xf>
    <xf numFmtId="0" fontId="0" fillId="0" borderId="10" xfId="0" applyBorder="1" applyAlignment="1">
      <alignment vertical="top" wrapText="1"/>
    </xf>
    <xf numFmtId="0" fontId="0" fillId="0" borderId="0" xfId="0" pivotButton="1"/>
    <xf numFmtId="0" fontId="0" fillId="0" borderId="0" xfId="0" applyAlignment="1">
      <alignment horizontal="left"/>
    </xf>
    <xf numFmtId="0" fontId="19" fillId="0" borderId="10" xfId="42" applyBorder="1" applyAlignment="1">
      <alignment vertical="top" wrapText="1"/>
    </xf>
    <xf numFmtId="0" fontId="25" fillId="38" borderId="10" xfId="0" applyFont="1" applyFill="1" applyBorder="1" applyAlignment="1">
      <alignment horizontal="center" vertical="center" wrapText="1"/>
    </xf>
    <xf numFmtId="0" fontId="0" fillId="0" borderId="14" xfId="0" applyBorder="1" applyAlignment="1">
      <alignment vertical="top" wrapText="1"/>
    </xf>
    <xf numFmtId="0" fontId="0" fillId="0" borderId="15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3" xfId="0" applyBorder="1" applyAlignment="1">
      <alignment vertical="top" wrapText="1"/>
    </xf>
    <xf numFmtId="0" fontId="0" fillId="0" borderId="13" xfId="0" applyBorder="1"/>
    <xf numFmtId="14" fontId="0" fillId="0" borderId="0" xfId="0" applyNumberFormat="1"/>
    <xf numFmtId="14" fontId="0" fillId="0" borderId="10" xfId="0" applyNumberFormat="1" applyBorder="1" applyAlignment="1">
      <alignment vertical="top" wrapText="1"/>
    </xf>
    <xf numFmtId="164" fontId="0" fillId="0" borderId="10" xfId="0" applyNumberFormat="1" applyBorder="1" applyAlignment="1">
      <alignment vertical="top" wrapText="1"/>
    </xf>
    <xf numFmtId="0" fontId="0" fillId="0" borderId="13" xfId="0" applyBorder="1" applyAlignment="1">
      <alignment horizontal="left"/>
    </xf>
    <xf numFmtId="14" fontId="0" fillId="0" borderId="10" xfId="0" applyNumberFormat="1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0" xfId="0" applyAlignment="1">
      <alignment vertical="top" wrapText="1"/>
    </xf>
  </cellXfs>
  <cellStyles count="44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Hyperlink" xfId="43" xr:uid="{00000000-000B-0000-0000-000008000000}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colors>
    <mruColors>
      <color rgb="FFF6F9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Puntos potenciales por Jefe</a:t>
            </a:r>
            <a:r>
              <a:rPr lang="es-CO" baseline="0"/>
              <a:t> de zona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Hoja4!$B$22</c:f>
              <c:strCache>
                <c:ptCount val="1"/>
                <c:pt idx="0">
                  <c:v>Cuenta de Nombre del Punto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Hoja4!$A$23:$A$37</c:f>
              <c:strCache>
                <c:ptCount val="15"/>
                <c:pt idx="0">
                  <c:v>Brayan Mogollón</c:v>
                </c:pt>
                <c:pt idx="1">
                  <c:v>CRISTIAN ESTUPIÃAN</c:v>
                </c:pt>
                <c:pt idx="2">
                  <c:v>Danny Bermeo</c:v>
                </c:pt>
                <c:pt idx="3">
                  <c:v>Diana Victoria Bernal Puentes</c:v>
                </c:pt>
                <c:pt idx="4">
                  <c:v>JOHN ALEJANDRO ALZATE ALZATE</c:v>
                </c:pt>
                <c:pt idx="5">
                  <c:v>SANDRA PADILLA</c:v>
                </c:pt>
                <c:pt idx="6">
                  <c:v>Alejandro Gomez</c:v>
                </c:pt>
                <c:pt idx="7">
                  <c:v>Brayan Ortiz</c:v>
                </c:pt>
                <c:pt idx="8">
                  <c:v>Diana Marcela Arevalo Gonzalez</c:v>
                </c:pt>
                <c:pt idx="9">
                  <c:v>MASSIEL LORENA GARZON MONTES</c:v>
                </c:pt>
                <c:pt idx="10">
                  <c:v>vicky Duque</c:v>
                </c:pt>
                <c:pt idx="11">
                  <c:v>CHRISTIAN CAMILO RODRIGUEZ</c:v>
                </c:pt>
                <c:pt idx="12">
                  <c:v>JAIRO HERNANDEZ</c:v>
                </c:pt>
                <c:pt idx="13">
                  <c:v>KATERIN  DIAZ ZORRO</c:v>
                </c:pt>
                <c:pt idx="14">
                  <c:v>Daniela  Menasse </c:v>
                </c:pt>
              </c:strCache>
            </c:strRef>
          </c:cat>
          <c:val>
            <c:numRef>
              <c:f>Hoja4!$B$23:$B$37</c:f>
              <c:numCache>
                <c:formatCode>General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0D-403D-B243-887139BA1CA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457024592"/>
        <c:axId val="1457021712"/>
      </c:barChart>
      <c:catAx>
        <c:axId val="14570245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57021712"/>
        <c:crosses val="autoZero"/>
        <c:auto val="1"/>
        <c:lblAlgn val="ctr"/>
        <c:lblOffset val="100"/>
        <c:noMultiLvlLbl val="0"/>
      </c:catAx>
      <c:valAx>
        <c:axId val="145702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57024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Puntos potenciales por región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1"/>
          <c:order val="0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</c:spPr>
            <c:extLst>
              <c:ext xmlns:c16="http://schemas.microsoft.com/office/drawing/2014/chart" uri="{C3380CC4-5D6E-409C-BE32-E72D297353CC}">
                <c16:uniqueId val="{0000000C-4904-4BFD-9BDD-858629C36615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D-4904-4BFD-9BDD-858629C36615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E-4904-4BFD-9BDD-858629C36615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904-4BFD-9BDD-858629C36615}"/>
            </c:ext>
          </c:extLst>
        </c:ser>
        <c:ser>
          <c:idx val="0"/>
          <c:order val="1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4904-4BFD-9BDD-858629C36615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4904-4BFD-9BDD-858629C36615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4904-4BFD-9BDD-858629C36615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04-4BFD-9BDD-858629C3661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Puntos potenciales por región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1"/>
          <c:order val="0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</c:spPr>
            <c:extLst>
              <c:ext xmlns:c16="http://schemas.microsoft.com/office/drawing/2014/chart" uri="{C3380CC4-5D6E-409C-BE32-E72D297353CC}">
                <c16:uniqueId val="{00000001-7373-4F0B-BD94-6D56655DFB6A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3-7373-4F0B-BD94-6D56655DFB6A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7373-4F0B-BD94-6D56655DFB6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373-4F0B-BD94-6D56655DFB6A}"/>
            </c:ext>
          </c:extLst>
        </c:ser>
        <c:ser>
          <c:idx val="0"/>
          <c:order val="1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7373-4F0B-BD94-6D56655DFB6A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7373-4F0B-BD94-6D56655DFB6A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7373-4F0B-BD94-6D56655DFB6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373-4F0B-BD94-6D56655DFB6A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Cantidad de puntos mapeados por JZ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operaciones'!$A$2:$A$15</c:f>
              <c:strCache>
                <c:ptCount val="14"/>
                <c:pt idx="0">
                  <c:v>Daniela  Menasse </c:v>
                </c:pt>
                <c:pt idx="1">
                  <c:v>KATERIN  DIAZ ZORRO</c:v>
                </c:pt>
                <c:pt idx="2">
                  <c:v>CHRISTIAN CAMILO RODRIGUEZ</c:v>
                </c:pt>
                <c:pt idx="3">
                  <c:v>JAIRO HERNANDEZ</c:v>
                </c:pt>
                <c:pt idx="4">
                  <c:v>Alejandro Gomez</c:v>
                </c:pt>
                <c:pt idx="5">
                  <c:v>Brayan Ortiz</c:v>
                </c:pt>
                <c:pt idx="6">
                  <c:v>Diana Marcela Arevalo Gonzalez</c:v>
                </c:pt>
                <c:pt idx="7">
                  <c:v>MASSIEL LORENA GARZON MONTES</c:v>
                </c:pt>
                <c:pt idx="8">
                  <c:v>vicky Duque</c:v>
                </c:pt>
                <c:pt idx="9">
                  <c:v>Brayan Mogollón</c:v>
                </c:pt>
                <c:pt idx="10">
                  <c:v>CRISTIAN ESTUPIÃAN</c:v>
                </c:pt>
                <c:pt idx="11">
                  <c:v>Danny Bermeo</c:v>
                </c:pt>
                <c:pt idx="12">
                  <c:v>JOHN ALEJANDRO ALZATE ALZATE</c:v>
                </c:pt>
                <c:pt idx="13">
                  <c:v>SANDRA PADILLA</c:v>
                </c:pt>
              </c:strCache>
            </c:strRef>
          </c:cat>
          <c:val>
            <c:numRef>
              <c:f>'Resumen operaciones'!$C$2:$C$15</c:f>
              <c:numCache>
                <c:formatCode>General</c:formatCode>
                <c:ptCount val="14"/>
                <c:pt idx="0">
                  <c:v>5</c:v>
                </c:pt>
                <c:pt idx="1">
                  <c:v>4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7B-4CAD-AB46-483BB664FE1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806368944"/>
        <c:axId val="1806373264"/>
      </c:barChart>
      <c:catAx>
        <c:axId val="18063689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6373264"/>
        <c:crosses val="autoZero"/>
        <c:auto val="1"/>
        <c:lblAlgn val="ctr"/>
        <c:lblOffset val="100"/>
        <c:noMultiLvlLbl val="0"/>
      </c:catAx>
      <c:valAx>
        <c:axId val="1806373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6368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15875</xdr:colOff>
      <xdr:row>20</xdr:row>
      <xdr:rowOff>152400</xdr:rowOff>
    </xdr:from>
    <xdr:to>
      <xdr:col>9</xdr:col>
      <xdr:colOff>15875</xdr:colOff>
      <xdr:row>39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415227C-D3CB-E457-7B95-767B953B25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16436</xdr:colOff>
      <xdr:row>39</xdr:row>
      <xdr:rowOff>169449</xdr:rowOff>
    </xdr:from>
    <xdr:to>
      <xdr:col>9</xdr:col>
      <xdr:colOff>16435</xdr:colOff>
      <xdr:row>54</xdr:row>
      <xdr:rowOff>147785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82312BB-62C6-BB14-6004-D9BCC3B38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53814</xdr:colOff>
      <xdr:row>20</xdr:row>
      <xdr:rowOff>150678</xdr:rowOff>
    </xdr:from>
    <xdr:to>
      <xdr:col>15</xdr:col>
      <xdr:colOff>53813</xdr:colOff>
      <xdr:row>38</xdr:row>
      <xdr:rowOff>150539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8451E82-DB4C-42CB-8DCE-6063E5847B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3175</xdr:colOff>
      <xdr:row>0</xdr:row>
      <xdr:rowOff>177800</xdr:rowOff>
    </xdr:from>
    <xdr:to>
      <xdr:col>13</xdr:col>
      <xdr:colOff>342901</xdr:colOff>
      <xdr:row>19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9116C6B-D6C7-7CA7-6168-2DB66D6EC3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JAS ALVAREZ JUAN PABLO" refreshedDate="46224.476254861111" createdVersion="8" refreshedVersion="8" minRefreshableVersion="3" recordCount="33" xr:uid="{3149D017-04DA-416B-A257-0B2370D97D60}">
  <cacheSource type="worksheet">
    <worksheetSource ref="A1:V31" sheet="Visitas_Operaciones"/>
  </cacheSource>
  <cacheFields count="20">
    <cacheField name="ID" numFmtId="0">
      <sharedItems containsSemiMixedTypes="0" containsString="0" containsNumber="1" containsInteger="1" minValue="3649217" maxValue="3668119"/>
    </cacheField>
    <cacheField name="Jefe de zona" numFmtId="0">
      <sharedItems count="17">
        <s v="Juan Rojas"/>
        <s v="SANDRA PADILLA"/>
        <s v="JOHN ALEJANDRO ALZATE ALZATE"/>
        <s v="KATERIN  DIAZ ZORRO"/>
        <s v="JAIRO HERNANDEZ"/>
        <s v="Alejandro Gomez"/>
        <s v="CRISTIAN ESTUPIÃAN"/>
        <s v="Daniela  Menasse "/>
        <s v="Brayan Ortiz"/>
        <s v="Diana Marcela Arevalo Gonzalez"/>
        <s v="vicky Duque"/>
        <s v="CHRISTIAN CAMILO RODRIGUEZ"/>
        <s v="Danny Bermeo"/>
        <s v="MASSIEL LORENA GARZON MONTES"/>
        <s v="Brayan Mogollón"/>
        <s v="Diana Victoria Bernal Puentes"/>
        <s v="brayan.mogollon@oxxo.com" u="1"/>
      </sharedItems>
    </cacheField>
    <cacheField name="Correo" numFmtId="0">
      <sharedItems/>
    </cacheField>
    <cacheField name="Fecha de inicio" numFmtId="0">
      <sharedItems/>
    </cacheField>
    <cacheField name="Fecha de envío" numFmtId="0">
      <sharedItems/>
    </cacheField>
    <cacheField name="Hora" numFmtId="0">
      <sharedItems/>
    </cacheField>
    <cacheField name="Año" numFmtId="0">
      <sharedItems containsSemiMixedTypes="0" containsString="0" containsNumber="1" containsInteger="1" minValue="2026" maxValue="2026"/>
    </cacheField>
    <cacheField name="Mes" numFmtId="0">
      <sharedItems/>
    </cacheField>
    <cacheField name="Estado" numFmtId="0">
      <sharedItems/>
    </cacheField>
    <cacheField name="Nombre del Punto " numFmtId="0">
      <sharedItems/>
    </cacheField>
    <cacheField name="Región" numFmtId="0">
      <sharedItems count="3">
        <s v="Centro"/>
        <s v="Nororiente"/>
        <s v="Occidente"/>
      </sharedItems>
    </cacheField>
    <cacheField name="Plaza" numFmtId="0">
      <sharedItems/>
    </cacheField>
    <cacheField name="Dirección" numFmtId="0">
      <sharedItems/>
    </cacheField>
    <cacheField name="Enlace de la ubicación en Google Maps" numFmtId="0">
      <sharedItems longText="1"/>
    </cacheField>
    <cacheField name="Segmento de tienda aproximado" numFmtId="0">
      <sharedItems/>
    </cacheField>
    <cacheField name="Tienda de local" numFmtId="0">
      <sharedItems/>
    </cacheField>
    <cacheField name="Principal característica de la ubicación" numFmtId="0">
      <sharedItems/>
    </cacheField>
    <cacheField name="Contacto del Propietario (Teléfono)" numFmtId="0">
      <sharedItems containsMixedTypes="1" containsNumber="1" containsInteger="1" minValue="3004550101" maxValue="3506549064"/>
    </cacheField>
    <cacheField name="Contacto del Propietario (Correo Electronico)" numFmtId="0">
      <sharedItems containsMixedTypes="1" containsNumber="1" containsInteger="1" minValue="3002661196" maxValue="3506549064"/>
    </cacheField>
    <cacheField name="Fotos del Local Revisado" numFmtId="0">
      <sharedItems longText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n v="3649217"/>
    <x v="0"/>
    <s v="juanp.rojas@oxxo.com"/>
    <s v="14/07/2026"/>
    <s v="14/07/2026"/>
    <s v="07:43"/>
    <n v="2026"/>
    <s v="07"/>
    <s v="Enviado"/>
    <s v="Prueba 1"/>
    <x v="0"/>
    <s v="Bogotá"/>
    <s v="Cualquier cosa"/>
    <s v="Bsbsjaha"/>
    <s v="Base"/>
    <s v="Esquinero"/>
    <s v="Zona Comercial"/>
    <s v="Hshshs"/>
    <s v="Hahshs"/>
    <s v="Foto: https://oxxo-colombia.oneapp.cl/static/img/Respuesta/62602229/6d8ffd2e8c6478e019c6e6f2f184cd89.jpg"/>
  </r>
  <r>
    <n v="3649249"/>
    <x v="1"/>
    <s v="sandra.padilla@oxxo.com"/>
    <s v="14/07/2026"/>
    <s v="14/07/2026"/>
    <s v="08:19"/>
    <n v="2026"/>
    <s v="07"/>
    <s v="Enviado"/>
    <s v="Centro comercial cañaveral"/>
    <x v="1"/>
    <s v="Oriente"/>
    <s v="Calle 30 # 30-04 centro comercial cañaveral"/>
    <s v="https://www.bing.com/maps/search?mepi=0%7ERetail%7EEmbedded%7EEntity_Vertical_List_Card&amp;ty=17&amp;poicount=18&amp;sei=0&amp;FORM=MPSRPL&amp;q=centro+comercial+ca%C3%B1averal+ubicacion+maps&amp;secq=Entrada+Principal+-+Centro+Comercial+Ca%C3%B1averal+centro+comercial+canaveral&amp;sece=ypid.YN7758855A916B70D8&amp;ppois=7.0705718994140625_-73.10617065429688_Entrada+Principal+-+Centro+Comercial+Ca%C3%B1averal_YN7758855A916B70D8%7E7.071527481079102_-73.10704040527344_Entrada+Secundaria+-+Centro+Comercial+Ca%C3%B1averal_YNC4544A33189FF34C%7E&amp;segment=Retail&amp;cp=7.070572%7E-73.106171&amp;lvl=11&amp;style=r"/>
    <s v="Base"/>
    <s v="Esquinero"/>
    <s v="Zona Comercial"/>
    <s v="Es local ubicado en centro comercial cañaveral. Esquinero está diagonal a Juan Valdez. _x000a_Debe ser inmobiliaria pero no aparece nombre solo teléfono para llamar_x000a_3007751069"/>
    <n v="3007751069"/>
    <s v="Foto: https://oxxo-colombia.oneapp.cl/static/img/Respuesta/62607815/d9df2c1a2055b05c09ecf99840d4672a.jpg"/>
  </r>
  <r>
    <n v="3649241"/>
    <x v="0"/>
    <s v="juanp.rojas@oxxo.com"/>
    <s v="14/07/2026"/>
    <s v="14/07/2026"/>
    <s v="08:31"/>
    <n v="2026"/>
    <s v="07"/>
    <s v="Enviado"/>
    <s v="Prueba 1"/>
    <x v="0"/>
    <s v="Bogotá"/>
    <s v="Cra 8#17-25"/>
    <s v="https://maps.app.goo.gl/sQCBBmYmfUFgSJJw5?g_st=ic"/>
    <s v="Base"/>
    <s v="Esquinero"/>
    <s v="Zona Administrativa"/>
    <n v="3115620222"/>
    <s v="Jajahdy"/>
    <s v="Foto: https://oxxo-colombia.oneapp.cl/static/img/Respuesta/62607707/a67a6d94f2caa7f4eddd443c3d853b30.jpg"/>
  </r>
  <r>
    <n v="3649264"/>
    <x v="2"/>
    <s v="john.alzate@oxxo.com"/>
    <s v="14/07/2026"/>
    <s v="14/07/2026"/>
    <s v="08:31"/>
    <n v="2026"/>
    <s v="07"/>
    <s v="Enviado"/>
    <s v="Prueba alejando alzate"/>
    <x v="2"/>
    <s v="Eje Cafetero"/>
    <s v="Calle 10 10 01"/>
    <s v="https://maps.app.goo.gl/zs9eYrx3BXeghThK7?g_st=ac"/>
    <s v="Receso "/>
    <s v="Esquinero"/>
    <s v="Zona Residencial"/>
    <s v="Prueba"/>
    <s v="Prueba"/>
    <s v="Foto: https://oxxo-colombia.oneapp.cl/static/img/Respuesta/62607776/1bbc7e3ecea7bb71752ba7f613178b51.jpg_x000a_Foto: https://oxxo-colombia.oneapp.cl/static/img/Respuesta/62607776/d01736f34cf7d2fbf49c953d76e353f2.jpg"/>
  </r>
  <r>
    <n v="3649288"/>
    <x v="3"/>
    <s v="katerin.diaz@oxxo.com"/>
    <s v="14/07/2026"/>
    <s v="14/07/2026"/>
    <s v="08:50"/>
    <n v="2026"/>
    <s v="07"/>
    <s v="Enviado"/>
    <s v="Autopista 159"/>
    <x v="0"/>
    <s v="Bogotá"/>
    <s v="Calle 159a 22 76"/>
    <s v="https://maps.app.goo.gl/ARHY4pjoMEGefriy5?g_st=iw"/>
    <s v="Base"/>
    <s v="Esquinero"/>
    <s v="Zona Comercial"/>
    <n v="3103340792"/>
    <s v="Nimguno"/>
    <s v="Foto: https://oxxo-colombia.oneapp.cl/static/img/Respuesta/62609012/0c78ccadb1951931f9f9e598456c2f02.jpg"/>
  </r>
  <r>
    <n v="3649297"/>
    <x v="3"/>
    <s v="katerin.diaz@oxxo.com"/>
    <s v="14/07/2026"/>
    <s v="14/07/2026"/>
    <s v="09:25"/>
    <n v="2026"/>
    <s v="07"/>
    <s v="Enviado"/>
    <s v="Parque Toberin"/>
    <x v="0"/>
    <s v="Bogotá"/>
    <s v="Cra 21 168"/>
    <s v="https://maps.app.goo.gl/RdznzFN8oeXt4BzY8?g_st=iw"/>
    <s v="Base"/>
    <s v="Esquinero"/>
    <s v="Zona Comercial"/>
    <n v="3004550101"/>
    <s v="Ninguno"/>
    <s v="Foto: https://oxxo-colombia.oneapp.cl/static/img/Respuesta/62611190/aab0753a5550540c761da14167e590bd.jpg"/>
  </r>
  <r>
    <n v="3649449"/>
    <x v="4"/>
    <s v="jairo.hernandez@oxxo.com"/>
    <s v="14/07/2026"/>
    <s v="14/07/2026"/>
    <s v="15:19"/>
    <n v="2026"/>
    <s v="07"/>
    <s v="Enviado"/>
    <s v="Oxxo Bolivar Desnudo"/>
    <x v="2"/>
    <s v="Eje Cafetero"/>
    <s v="Calle 19 carrera 7 esquina"/>
    <s v="https://maps.app.goo.gl/cyi7f3fML7fKbAXTA"/>
    <s v="Receso "/>
    <s v="Esquinero"/>
    <s v="Zona Comercial"/>
    <s v="Juan Esteban Arbelaez_x000a_3218303155"/>
    <s v="Luvikasu@hotmail.com"/>
    <s v="Foto: https://oxxo-colombia.oneapp.cl/static/img/Respuesta/62624413/20c771fc6c9288613883161d80b62535.jpg"/>
  </r>
  <r>
    <n v="3649582"/>
    <x v="4"/>
    <s v="jairo.hernandez@oxxo.com"/>
    <s v="14/07/2026"/>
    <s v="14/07/2026"/>
    <s v="16:17"/>
    <n v="2026"/>
    <s v="07"/>
    <s v="Enviado"/>
    <s v="Oxxo Los Rosales"/>
    <x v="2"/>
    <s v="Eje Cafetero"/>
    <s v="Carrera 9 24- 62"/>
    <s v="https://maps.app.goo.gl/QBWShgaJxsi6X6WG7"/>
    <s v="Base"/>
    <s v="Medianero"/>
    <s v="Hospitales/ Clinícas"/>
    <s v="Guillermo Palacios_x000a_3146815905_x000a_3122875409"/>
    <s v="memito-palacio@hotmail.com"/>
    <s v="Foto: https://oxxo-colombia.oneapp.cl/static/img/Respuesta/62625891/bbb75d22f5b9542c336c0758cfe8f50d.jpg_x000a_Foto: https://oxxo-colombia.oneapp.cl/static/img/Respuesta/62625891/cbd83bdd35ee059afb5e2b8722d2af3d.jpg_x000a_Foto: https://oxxo-colombia.oneapp.cl/static/img/Respuesta/62625891/6470f7a24b27c5fd93574a90681e8724.jpg"/>
  </r>
  <r>
    <n v="3649592"/>
    <x v="5"/>
    <s v="alejandror.gomez@oxxo.com"/>
    <s v="14/07/2026"/>
    <s v="14/07/2026"/>
    <s v="16:33"/>
    <n v="2026"/>
    <s v="07"/>
    <s v="Enviado"/>
    <s v="Oxxo cra 13"/>
    <x v="2"/>
    <s v="Eje Cafetero"/>
    <s v="Cra 13 no 11-09"/>
    <s v="https://maps.app.goo.gl/ZQgrkgw8KHzSeLA8A?g_st=iw"/>
    <s v="Base"/>
    <s v="Esquinero"/>
    <s v="Zona Comercial"/>
    <n v="3009121600"/>
    <s v="6063344240_x000a_@rentamoviliaria"/>
    <s v="Foto: https://oxxo-colombia.oneapp.cl/static/img/Respuesta/62626454/87ed3b5f570cab3e0b3ed0ece0ec96c9.jpg_x000a_Foto: https://oxxo-colombia.oneapp.cl/static/img/Respuesta/62626454/bf2a2bd00c8f33ddaa547727910a5c6c.jpg_x000a_Foto: https://oxxo-colombia.oneapp.cl/static/img/Respuesta/62626454/21896d185fd26b3fe0f7f9d473c56cf4.jpg"/>
  </r>
  <r>
    <n v="3649609"/>
    <x v="6"/>
    <s v="cristian.romero@oxxo.com"/>
    <s v="14/07/2026"/>
    <s v="14/07/2026"/>
    <s v="17:11"/>
    <n v="2026"/>
    <s v="07"/>
    <s v="Enviado"/>
    <s v="Parque industrial kuma"/>
    <x v="0"/>
    <s v="Centro Norte"/>
    <s v="Km 4 via Zipaquirá Bogotá después de el puente de ingreso a Zipaquirá variante Zipaquirá Ubaté vía nacional"/>
    <s v="https://maps.app.goo.gl/a95PSeawc8zDeAyD7"/>
    <s v="Receso "/>
    <s v="Esquinero"/>
    <s v="Zona Industrial"/>
    <n v="3104257782"/>
    <s v="Sin datos de propietario"/>
    <s v="Foto: https://oxxo-colombia.oneapp.cl/static/img/Respuesta/62627287/c1e0834f4cd9b5d4ab1a925f0204f551.jpg_x000a_Foto: https://oxxo-colombia.oneapp.cl/static/img/Respuesta/62627287/e677cf39589abe072208cad82b930fa3.jpg_x000a_Foto: https://oxxo-colombia.oneapp.cl/static/img/Respuesta/62627287/45ddda7fb96609d51eb557871f1cf18f.jpg"/>
  </r>
  <r>
    <n v="3652749"/>
    <x v="7"/>
    <s v="daniela.menasse@oxxo.com"/>
    <s v="15/07/2026"/>
    <s v="15/07/2026"/>
    <s v="08:30"/>
    <n v="2026"/>
    <s v="07"/>
    <s v="Enviado"/>
    <s v="Santo Tomás"/>
    <x v="0"/>
    <s v="Bogotá"/>
    <s v="Carrera 13#52-30 esquina"/>
    <s v="https://maps.app.goo.gl/ZgYr7gZUWwWBfsNb6?g_st=ic"/>
    <s v="Receso "/>
    <s v="Esquinero"/>
    <s v="Zona Comercial"/>
    <n v="3112914286"/>
    <s v="No tengo"/>
    <s v="Foto: https://oxxo-colombia.oneapp.cl/static/img/Respuesta/62673636/9c5c324d38e1b8d01a037616b3a8b20d.jpg"/>
  </r>
  <r>
    <n v="3652752"/>
    <x v="7"/>
    <s v="daniela.menasse@oxxo.com"/>
    <s v="15/07/2026"/>
    <s v="15/07/2026"/>
    <s v="08:34"/>
    <n v="2026"/>
    <s v="07"/>
    <s v="Enviado"/>
    <s v="Parque Santa Bárbara"/>
    <x v="0"/>
    <s v="Bogotá"/>
    <s v="Calle 122#18b-07"/>
    <s v="https://maps.app.goo.gl/roHspvGqX4kLWBoAA?g_st=ic"/>
    <s v="Receso "/>
    <s v="Medianero"/>
    <s v="Zona Comercial"/>
    <n v="3112034494"/>
    <s v="No tengo"/>
    <s v="Foto: https://oxxo-colombia.oneapp.cl/static/img/Respuesta/62673905/121c03b3a3e9f205107fe002e8fb6043.jpg"/>
  </r>
  <r>
    <n v="3652756"/>
    <x v="7"/>
    <s v="daniela.menasse@oxxo.com"/>
    <s v="15/07/2026"/>
    <s v="15/07/2026"/>
    <s v="08:39"/>
    <n v="2026"/>
    <s v="07"/>
    <s v="Enviado"/>
    <s v="Av cra 15?"/>
    <x v="0"/>
    <s v="Bogotá"/>
    <s v="Av 15#118-93"/>
    <s v="https://maps.app.goo.gl/2TZH47f4N86NTjSb6?g_st=ic"/>
    <s v="Receso "/>
    <s v="Medianero"/>
    <s v="Zona Comercial"/>
    <n v="3114910947"/>
    <s v="Anterior Banco caja social"/>
    <s v="Foto: https://oxxo-colombia.oneapp.cl/static/img/Respuesta/62674064/875b2ce52d5c7099e6bb984754d0bfe0.jpg"/>
  </r>
  <r>
    <n v="3652790"/>
    <x v="8"/>
    <s v="brayan.ortiz@oxxo.com"/>
    <s v="15/07/2026"/>
    <s v="15/07/2026"/>
    <s v="09:22"/>
    <n v="2026"/>
    <s v="07"/>
    <s v="Enviado"/>
    <s v="Tunjuelito"/>
    <x v="0"/>
    <s v="Bogotá"/>
    <s v="Cra 12b 52 80 sur"/>
    <s v="https://maps.app.goo.gl/uNEnpfgoDAbeptMD7?g_st=ac"/>
    <s v="Hogar"/>
    <s v="Esquinero"/>
    <s v="Zona Residencial"/>
    <n v="3102521005"/>
    <s v="w-becerra@hotmail.com"/>
    <s v="Foto: https://oxxo-colombia.oneapp.cl/static/img/Respuesta/62676593/dc0a0774e1cab78bbb958e0b0f01d8b0.jpg_x000a_Foto: https://oxxo-colombia.oneapp.cl/static/img/Respuesta/62676593/31fff14c952201a70962b982e5d5b3c2.jpg"/>
  </r>
  <r>
    <n v="3652807"/>
    <x v="7"/>
    <s v="daniela.menasse@oxxo.com"/>
    <s v="15/07/2026"/>
    <s v="15/07/2026"/>
    <s v="09:42"/>
    <n v="2026"/>
    <s v="07"/>
    <s v="Enviado"/>
    <s v="Le grand"/>
    <x v="0"/>
    <s v="Bogotá"/>
    <s v="Av 116#15-2"/>
    <s v="https://maps.app.goo.gl/37dHFgR4RCV1TvPe8?g_st=ic"/>
    <s v="Receso "/>
    <s v="Medianero"/>
    <s v="Zona Comercial"/>
    <s v="3142182464_x000a_3164705512"/>
    <s v="No tengo"/>
    <s v="Foto: https://oxxo-colombia.oneapp.cl/static/img/Respuesta/62677931/f8c06c7abb8003e063af29295ee75181.jpg"/>
  </r>
  <r>
    <n v="3652812"/>
    <x v="7"/>
    <s v="daniela.menasse@oxxo.com"/>
    <s v="15/07/2026"/>
    <s v="15/07/2026"/>
    <s v="09:48"/>
    <n v="2026"/>
    <s v="07"/>
    <s v="Enviado"/>
    <s v="Pepe av 116"/>
    <x v="0"/>
    <s v="Bogotá"/>
    <s v="Av 116 16-78"/>
    <s v="https://maps.app.goo.gl/FbPpk8UWb766FAqY8?g_st=ic"/>
    <s v="Receso "/>
    <s v="Medianero"/>
    <s v="Zona Comercial"/>
    <n v="3105722683"/>
    <s v="Hay 3 locales desocupados _x000a_2 pegados para que de el área y otro 102 m2"/>
    <s v="Foto: https://oxxo-colombia.oneapp.cl/static/img/Respuesta/62678392/15e782c8af7c8926b7b1e25733587063.jpg"/>
  </r>
  <r>
    <n v="3652852"/>
    <x v="9"/>
    <s v="diana.arevalo@oxxo.com"/>
    <s v="15/07/2026"/>
    <s v="15/07/2026"/>
    <s v="10:38"/>
    <n v="2026"/>
    <s v="07"/>
    <s v="Enviado"/>
    <s v="Fusa Sutagao"/>
    <x v="0"/>
    <s v="Centro Sur "/>
    <s v="EDS Primax - Antigua Panamericana, Arbeláez-Fusagasuga, Fusagasugá, Cundinamarca"/>
    <s v="https://goo.gl/maps/hD1QaqZei8hNKnUy5?g_st=aw"/>
    <s v="Receso "/>
    <s v="Esquinero"/>
    <s v="Zona Comercial"/>
    <s v="Tractorepuestos AL"/>
    <n v="3002661196"/>
    <s v="Foto: https://oxxo-colombia.oneapp.cl/static/img/Respuesta/62681026/8324fe22a24dc58b2ad66c11d110f312.jpg_x000a_Foto: https://oxxo-colombia.oneapp.cl/static/img/Respuesta/62681026/4fd8b0bcf809f89e1a0941f38c8a9fbf.jpg_x000a_Foto: https://oxxo-colombia.oneapp.cl/static/img/Respuesta/62681026/1ad08db0e95687318e1159f636316174.jpg"/>
  </r>
  <r>
    <n v="3652942"/>
    <x v="10"/>
    <s v="vicky.duque@oxxo.com"/>
    <s v="15/07/2026"/>
    <s v="15/07/2026"/>
    <s v="12:13"/>
    <n v="2026"/>
    <s v="07"/>
    <s v="Enviado"/>
    <s v="Posible OXXO 52 con 13 Frente al Éxito de la 51, antes había un tren Presto, excelente ubicación, se adjuntan fotos"/>
    <x v="0"/>
    <s v="Bogotá"/>
    <s v="Carrera 13# 52-22"/>
    <s v="https://maps.app.goo.gl/9rC2X5676JGMq3sp8?g_st=iw"/>
    <s v="Base"/>
    <s v="Medianero"/>
    <s v="Zona Comercial"/>
    <n v="3112914286"/>
    <s v="Área 182 mt2 sin correo"/>
    <s v="Foto: https://oxxo-colombia.oneapp.cl/static/img/Respuesta/62686014/6dbd8fb9080d7688ce8cb71cea56b527.jpg_x000a_Foto: https://oxxo-colombia.oneapp.cl/static/img/Respuesta/62686014/f046b830ba2bdbd6b3408180fb13cd5f.jpg_x000a_Foto: https://oxxo-colombia.oneapp.cl/static/img/Respuesta/62686014/c98baeb58a0a870fc200af528455ed55.jpg_x000a_Foto: https://oxxo-colombia.oneapp.cl/static/img/Respuesta/62686014/0000eb81142e4097eec73c005b21e8bf.jpg"/>
  </r>
  <r>
    <n v="3652948"/>
    <x v="11"/>
    <s v="christian.rodriguezmarin@oxxo.com"/>
    <s v="15/07/2026"/>
    <s v="15/07/2026"/>
    <s v="12:22"/>
    <n v="2026"/>
    <s v="07"/>
    <s v="Enviado"/>
    <s v="Centro comercial el portico"/>
    <x v="0"/>
    <s v="Centro Sur "/>
    <s v="Centro comercial el pórtico n Fusagasuga"/>
    <s v="https://maps.app.goo.gl/XKjbjeAS9omZeFTB7?g_st=iw"/>
    <s v="Receso "/>
    <s v="Medianero"/>
    <s v="Zona Comercial"/>
    <n v="3105652759"/>
    <s v="No"/>
    <s v="Foto: https://oxxo-colombia.oneapp.cl/static/img/Respuesta/62686443/a90e81c94dc88f1e8890866ca6ead133.jpg"/>
  </r>
  <r>
    <n v="3652991"/>
    <x v="11"/>
    <s v="christian.rodriguezmarin@oxxo.com"/>
    <s v="15/07/2026"/>
    <s v="15/07/2026"/>
    <s v="13:21"/>
    <n v="2026"/>
    <s v="07"/>
    <s v="Enviado"/>
    <s v="Chapinero facatativa"/>
    <x v="0"/>
    <s v="Centro Sur "/>
    <s v="Calle 1 #3-97"/>
    <s v="https://maps.app.goo.gl/PhzXtYjgkKMemPb39?g_st=iw"/>
    <s v="Base"/>
    <s v="Esquinero"/>
    <s v="Hospitales/ Clinícas"/>
    <n v="3115576168"/>
    <s v="No"/>
    <s v="Foto: https://oxxo-colombia.oneapp.cl/static/img/Respuesta/62688562/e438735fb01f082ec211b3a4bb95d339.jpg_x000a_Foto: https://oxxo-colombia.oneapp.cl/static/img/Respuesta/62688562/423a495b6a6da53a709410b462229ac6.jpg"/>
  </r>
  <r>
    <n v="3653000"/>
    <x v="12"/>
    <s v="danny.perdomo@oxxo.com"/>
    <s v="15/07/2026"/>
    <s v="15/07/2026"/>
    <s v="13:37"/>
    <n v="2026"/>
    <s v="07"/>
    <s v="Enviado"/>
    <s v="Pasaje 10.60 Outlet américas"/>
    <x v="0"/>
    <s v="Bogotá"/>
    <s v="Cra 60 # 10_ 44 local 105"/>
    <s v="https://maps.app.goo.gl/qaYbvGnqLY1HZztv8"/>
    <s v="Receso "/>
    <s v="Esquinero"/>
    <s v="Zona Comercial"/>
    <s v="3114539386  fabian"/>
    <s v="N.a"/>
    <s v="Foto: https://oxxo-colombia.oneapp.cl/static/img/Respuesta/62688965/d995c3e0c3286247533d8d39dc637eb1.jpg_x000a_Foto: https://oxxo-colombia.oneapp.cl/static/img/Respuesta/62688965/9f99eecdf30980371467b2cb45efccea.jpg_x000a_Foto: https://oxxo-colombia.oneapp.cl/static/img/Respuesta/62688965/00ef89b64178265da08e02c453365960.jpg_x000a_Foto: https://oxxo-colombia.oneapp.cl/static/img/Respuesta/62688965/7167395391292a520b84b0074511333f.jpg"/>
  </r>
  <r>
    <n v="3653008"/>
    <x v="11"/>
    <s v="christian.rodriguezmarin@oxxo.com"/>
    <s v="15/07/2026"/>
    <s v="15/07/2026"/>
    <s v="13:43"/>
    <n v="2026"/>
    <s v="07"/>
    <s v="Enviado"/>
    <s v="Montecarlo facatativa"/>
    <x v="0"/>
    <s v="Centro Sur "/>
    <s v="Calle 2#5-03"/>
    <s v="https://maps.app.goo.gl/8ZCCS79gfk7pGP9C6?g_st=iw"/>
    <s v="Base"/>
    <s v="Medianero"/>
    <s v="Zona Residencial"/>
    <s v="3224423373_x000a_3046271281"/>
    <s v="No"/>
    <s v="Foto: https://oxxo-colombia.oneapp.cl/static/img/Respuesta/62689017/fea367e9b62dc62471c9fa962d583d9c.jpg_x000a_Foto: https://oxxo-colombia.oneapp.cl/static/img/Respuesta/62689017/5b31df4943a0eb4751ae327652f8f1f3.jpg"/>
  </r>
  <r>
    <n v="3653140"/>
    <x v="10"/>
    <s v="vicky.duque@oxxo.com"/>
    <s v="15/07/2026"/>
    <s v="15/07/2026"/>
    <s v="19:51"/>
    <n v="2026"/>
    <s v="07"/>
    <s v="Enviado"/>
    <s v="OXXO olímpica 53, sector tráfico x cadenas olípica, Farmatodo, dollarciry, vía principal sobre la Boyacá con 53, residencial y comercial"/>
    <x v="0"/>
    <s v="Bogotá"/>
    <s v="Av calle 53 # av cr 72"/>
    <s v="https://maps.app.goo.gl/RXJBFg5X1vNJ3zZ66?g_st=iw"/>
    <s v="Base"/>
    <s v="Esquinero"/>
    <s v="Zona Residencial"/>
    <n v="3142406629"/>
    <s v="No"/>
    <s v="Foto: https://oxxo-colombia.oneapp.cl/static/img/Respuesta/62695036/f1bdc273dfb5e1d12c1ecef6cb3e7a2a.jpg_x000a_Foto: https://oxxo-colombia.oneapp.cl/static/img/Respuesta/62695036/1022c0589a128b7e214c0b5dff02b09d.jpg"/>
  </r>
  <r>
    <n v="3653143"/>
    <x v="13"/>
    <s v="massiel.garzon@oxxo.com"/>
    <s v="15/07/2026"/>
    <s v="15/07/2026"/>
    <s v="19:57"/>
    <n v="2026"/>
    <s v="07"/>
    <s v="Enviado"/>
    <s v="Santa Beatriz"/>
    <x v="0"/>
    <s v="Bogotá"/>
    <s v="Cra 15 n 118 93"/>
    <s v="https://maps.app.goo.gl/xqXqLXgy7UCyB6pz9?g_st=ac"/>
    <s v="Base"/>
    <s v="Medianero"/>
    <s v="Zona Comercial"/>
    <n v="3114910947"/>
    <s v="N/A"/>
    <s v="Foto: https://oxxo-colombia.oneapp.cl/static/img/Respuesta/62695161/307ee68386c324cb589766d182d3dbf3.jpg"/>
  </r>
  <r>
    <n v="3653092"/>
    <x v="14"/>
    <s v="brayan.mogollon@oxxo.com"/>
    <s v="15/07/2026"/>
    <s v="15/07/2026"/>
    <s v="21:05"/>
    <n v="2026"/>
    <s v="07"/>
    <s v="Enviado"/>
    <s v="Citadinno"/>
    <x v="0"/>
    <s v="Centro Sur "/>
    <s v="Carrera 13 #33 a - 10"/>
    <s v="https://maps.app.goo.gl/UgKek3eZnzV3KFSy6"/>
    <s v="Hogar"/>
    <s v="Medianero"/>
    <s v="Zona Residencial"/>
    <n v="3506549064"/>
    <n v="3506549064"/>
    <s v="Foto: https://oxxo-colombia.oneapp.cl/static/img/Respuesta/62695999/d6da005f5521a4d75c851ab9adfd946d.jpg_x000a_Foto: https://oxxo-colombia.oneapp.cl/static/img/Respuesta/62695999/84cfcf75c0b9c3d3d25c32e358cd47a9.jpg_x000a_Foto: https://oxxo-colombia.oneapp.cl/static/img/Respuesta/62695999/d03028d1788909bd2c38c3e7df9282fe.jpg"/>
  </r>
  <r>
    <n v="3656243"/>
    <x v="9"/>
    <s v="diana.arevalo@oxxo.com"/>
    <s v="16/07/2026"/>
    <s v="16/07/2026"/>
    <s v="09:43"/>
    <n v="2026"/>
    <s v="07"/>
    <s v="Enviado"/>
    <s v="Girardot Oasis"/>
    <x v="0"/>
    <s v="Centro Sur "/>
    <s v="Carrera 10 # 19 -87  _x000a_Centro  comercial Oasis _x000a_Teléfono  8361574"/>
    <s v="https://maps.app.goo.gl/4XVD4C94joAnoLQU8?g_st=aw"/>
    <s v="Base"/>
    <s v="Esquinero"/>
    <s v="Zona Comercial"/>
    <s v="Es propiedad del centro  comercial local esquinero externo sobre vía principal, la encargada de locales es la señora Maria  3113450659"/>
    <s v="3113450659 teléfono  señora Maria"/>
    <s v="Foto: https://oxxo-colombia.oneapp.cl/static/img/Respuesta/62739297/3a0140b4026d36ec076615208b5286e8.jpg_x000a_Foto: https://oxxo-colombia.oneapp.cl/static/img/Respuesta/62739297/00868430b481892c62f5413a5344266f.jpg_x000a_Foto: https://oxxo-colombia.oneapp.cl/static/img/Respuesta/62739297/88fdb0d20858968755ff96a142d223c8.jpg_x000a_Foto: https://oxxo-colombia.oneapp.cl/static/img/Respuesta/62739297/86a27b789dc32044bf2e7ee6f90ead3e.jpg_x000a_Foto: https://oxxo-colombia.oneapp.cl/static/img/Respuesta/62739297/823f5a2c73af364f32b5d7fe9aaa59bf.jpg_x000a_Foto: https://oxxo-colombia.oneapp.cl/static/img/Respuesta/62739297/de9afca16655d06bb597ea69835e23ec.jpg"/>
  </r>
  <r>
    <n v="3656464"/>
    <x v="3"/>
    <s v="katerin.diaz@oxxo.com"/>
    <s v="16/07/2026"/>
    <s v="16/07/2026"/>
    <s v="13:29"/>
    <n v="2026"/>
    <s v="07"/>
    <s v="Enviado"/>
    <s v="Auto 161"/>
    <x v="0"/>
    <s v="Bogotá"/>
    <s v="Cra 45 161 40"/>
    <s v="https://maps.app.goo.gl/5bYucWhBPLEHru7D8"/>
    <s v="Base"/>
    <s v="Medianero"/>
    <s v="Zona Comercial"/>
    <n v="3123311755"/>
    <n v="3208997195"/>
    <s v="Foto: https://oxxo-colombia.oneapp.cl/static/img/Respuesta/62748121/b84838d7b907b803fb8d0920d6242ab2.jpg"/>
  </r>
  <r>
    <n v="3656477"/>
    <x v="8"/>
    <s v="brayan.ortiz@oxxo.com"/>
    <s v="16/07/2026"/>
    <s v="16/07/2026"/>
    <s v="13:45"/>
    <n v="2026"/>
    <s v="07"/>
    <s v="Enviado"/>
    <s v="Siena apartamentos"/>
    <x v="0"/>
    <s v="Bogotá"/>
    <s v="Dg 68 a sur #14 T 20"/>
    <s v="https://maps.app.goo.gl/QEQfuLMTfSvDtyZS7?g_st=ac"/>
    <s v="Hogar"/>
    <s v="Esquinero"/>
    <s v="Zona Residencial"/>
    <n v="3205633053"/>
    <n v="3205633053"/>
    <s v="Foto: https://oxxo-colombia.oneapp.cl/static/img/Respuesta/62748317/3322645e671d2b25cb5eef3ae49b30cc.jpg"/>
  </r>
  <r>
    <n v="3656520"/>
    <x v="5"/>
    <s v="alejandror.gomez@oxxo.com"/>
    <s v="16/07/2026"/>
    <s v="16/07/2026"/>
    <s v="15:12"/>
    <n v="2026"/>
    <s v="07"/>
    <s v="Enviado"/>
    <s v="Pinares"/>
    <x v="2"/>
    <s v="Eje Cafetero"/>
    <s v="Calle 14, esquina de clinica san rafael y megacentro pereira"/>
    <s v="https://maps.app.goo.gl/DsZejbLUvxEXoxAA6?g_st=awb"/>
    <s v="Receso "/>
    <s v="Medianero"/>
    <s v="Hospitales/ Clinícas"/>
    <n v="3104223304"/>
    <s v="No posee"/>
    <s v="Foto: https://oxxo-colombia.oneapp.cl/static/img/Respuesta/62750692/9c75c5050e5cf978d3e249eef5cd3e90.jpg_x000a_Foto: https://oxxo-colombia.oneapp.cl/static/img/Respuesta/62750692/6faf06a410aa2c8c5c95553941512d99.jpg_x000a_Foto: https://oxxo-colombia.oneapp.cl/static/img/Respuesta/62750692/150d79d820f4eba8aec47520434195f3.jpg"/>
  </r>
  <r>
    <n v="3656577"/>
    <x v="4"/>
    <s v="jairo.hernandez@oxxo.com"/>
    <s v="16/07/2026"/>
    <s v="16/07/2026"/>
    <s v="16:55"/>
    <n v="2026"/>
    <s v="07"/>
    <s v="Enviado"/>
    <s v="Oxxo Monarca"/>
    <x v="2"/>
    <s v="Eje Cafetero"/>
    <s v="Sector las piñas cerritos, Mall Plaza Monarca"/>
    <s v="https://maps.app.goo.gl/crfJcUJxJcrVFGAw8?g_st=awb"/>
    <s v="Base"/>
    <s v="Esquinero"/>
    <s v="Zona Residencial"/>
    <s v="Daniel Giraldo Lopez_x000a_3156981219"/>
    <s v="dagilo94@hotmail.com"/>
    <s v="Foto: https://oxxo-colombia.oneapp.cl/static/img/Respuesta/62752594/8b65e4ea3b50c310ca2be99f1ce2668a.jpg_x000a_Foto: https://oxxo-colombia.oneapp.cl/static/img/Respuesta/62752594/568fe042ea8c0f70a382dd7ee5ffb814.jpg_x000a_Foto: https://oxxo-colombia.oneapp.cl/static/img/Respuesta/62752594/295c31e7cef38b5e67a8a2ae606b692f.jpg"/>
  </r>
  <r>
    <n v="3656588"/>
    <x v="13"/>
    <s v="massiel.garzon@oxxo.com"/>
    <s v="16/07/2026"/>
    <s v="16/07/2026"/>
    <s v="17:29"/>
    <n v="2026"/>
    <s v="07"/>
    <s v="Enviado"/>
    <s v="Capital_x000a__x000a_En ese punto había un ARA, tiene bahía de parqueo,  cerca esta una sucursal de eps sanitas, edificio capital,  torre sapiencia"/>
    <x v="0"/>
    <s v="Bogotá"/>
    <s v="Auto Norte cra 45 N 122 36"/>
    <s v="https://maps.app.goo.gl/M7GS1t882L9X2s5X7?g_st=ac"/>
    <s v="Base"/>
    <s v="Medianero"/>
    <s v="Zona Comercial"/>
    <s v="3102960548_x000a_3134539405_x000a_3222535839"/>
    <s v="N/A"/>
    <s v="Foto: https://oxxo-colombia.oneapp.cl/static/img/Respuesta/62753216/3b2b19a79c8df3a1b7b1e3a59b46ba4b.jpg"/>
  </r>
  <r>
    <n v="3656652"/>
    <x v="3"/>
    <s v="katerin.diaz@oxxo.com"/>
    <s v="16/07/2026"/>
    <s v="16/07/2026"/>
    <s v="21:40"/>
    <n v="2026"/>
    <s v="07"/>
    <s v="Enviado"/>
    <s v="Pinar"/>
    <x v="0"/>
    <s v="Bogotá"/>
    <s v="Cra 97b calle 153"/>
    <s v="https://maps.app.goo.gl/Zs8Bp3Xwscm3Lyq39"/>
    <s v="Hogar"/>
    <s v="Esquinero"/>
    <s v="Zona Residencial"/>
    <n v="3124883281"/>
    <n v="3028167161"/>
    <s v="Foto: https://oxxo-colombia.oneapp.cl/static/img/Respuesta/62755126/4ed63ced37b89f4a0b1b1e126687e0af.jpg_x000a_Foto: https://oxxo-colombia.oneapp.cl/static/img/Respuesta/62755126/4e09e8f4390230f64598fd87a240c9f6.jpg_x000a_Foto: https://oxxo-colombia.oneapp.cl/static/img/Respuesta/62755126/06405011868606fa3061b91bf241ecf8.jpg"/>
  </r>
  <r>
    <n v="3668119"/>
    <x v="15"/>
    <s v="diana.bernal@oxxo.com"/>
    <s v="19/07/2026"/>
    <s v="19/07/2026"/>
    <s v="11:52"/>
    <n v="2026"/>
    <s v="07"/>
    <s v="Enviado"/>
    <s v="OXXO ESMERALDA"/>
    <x v="0"/>
    <s v="Centro Norte"/>
    <s v="Calle 11 Cra 11 esquina"/>
    <s v="https://maps.app.goo.gl/xG4YUUbdmJKMJHGW8?g_st=aw"/>
    <s v="Hogar"/>
    <s v="Esquinero"/>
    <s v="Zona Residencial"/>
    <s v="LUis Alberto Páez"/>
    <n v="3112581902"/>
    <s v="Foto: https://oxxo-colombia.oneapp.cl/static/img/Respuesta/62915009/fc0338b1145297bcaa7fe7e1a19bac18.jpg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2D6284-EEC0-4798-A3C3-9BD5487465C1}" name="TablaDinámica5" cacheId="70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A3:B7" firstHeaderRow="1" firstDataRow="1" firstDataCol="1" rowPageCount="1" colPageCount="1"/>
  <pivotFields count="20">
    <pivotField showAll="0"/>
    <pivotField axis="axisPage" multipleItemSelectionAllowed="1" showAll="0" sortType="ascending">
      <items count="18">
        <item x="5"/>
        <item x="14"/>
        <item x="8"/>
        <item m="1" x="16"/>
        <item x="11"/>
        <item x="6"/>
        <item x="7"/>
        <item x="12"/>
        <item x="9"/>
        <item x="15"/>
        <item x="4"/>
        <item x="2"/>
        <item h="1" x="0"/>
        <item x="3"/>
        <item x="13"/>
        <item x="1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1" hier="-1"/>
  </pageFields>
  <dataFields count="1">
    <dataField name="Cuenta de Nombre del Punto " fld="9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A2E7C4F-1DE8-4BA9-9ED5-A112220F014C}">
  <we:reference id="wa200004179" version="2025.3.0.0" store="en-US" storeType="OMEX"/>
  <we:alternateReferences>
    <we:reference id="wa200004179" version="2025.3.0.0" store="" storeType="OMEX"/>
  </we:alternateReferences>
  <we:properties>
    <we:property name="Esri.A4E.GeometryCache.cachedgeocode@@co@@https://geocode.arcgis.com/arcgis/rest/services/world/geocodeserver@@singleline" value="&quot;{40F3D427-5BDE-47CB-9FED-B3E563193BA5}&quot;"/>
    <we:property name="app-config" value="&quot;{\&quot;map\&quot;:{\&quot;webmap\&quot;:{\&quot;is3d\&quot;:false,\&quot;itemData\&quot;:{\&quot;operationalLayers\&quot;:[{\&quot;id\&quot;:\&quot;19ba47b8dd7-layer-3\&quot;,\&quot;visibility\&quot;:true,\&quot;opacity\&quot;:1,\&quot;minScale\&quot;:0,\&quot;maxScale\&quot;:0,\&quot;refreshInterval\&quot;:0,\&quot;title\&quot;:\&quot;'Expansion_2025-11-10-11.35.01'!U2:V74\&quot;,\&quot;objectIdField\&quot;:\&quot;objectId\&quot;,\&quot;type\&quot;:\&quot;DataLayer\&quot;,\&quot;layerType\&quot;:\&quot;ArcGISFeatureLayer\&quot;,\&quot;popupEnabled\&quot;:true,\&quot;disablePopup\&quot;:false,\&quot;visible\&quot;:true,\&quot;geometryType\&quot;:\&quot;point\&quot;,\&quot;source\&quot;:[{\&quot;attributes\&quot;:{},\&quot;geometry\&quot;:{\&quot;x\&quot;:0,\&quot;y\&quot;:0,\&quot;type\&quot;:\&quot;point\&quot;,\&quot;spatialReference\&quot;:{\&quot;latestWkid\&quot;:3857,\&quot;wkid\&quot;:102100}}}],\&quot;spatialReference\&quot;:{\&quot;latestWkid\&quot;:3857,\&quot;wkid\&quot;:102100},\&quot;esriMaps\&quot;:{\&quot;customProps\&quot;:{\&quot;dataTableType\&quot;:\&quot;CellRangeWithHeader\&quot;},\&quot;isTimeEnabled\&quot;:\&quot;false\&quot;,\&quot;clusterInfo\&quot;:null,\&quot;lastShareInfo\&quot;:null},\&quot;timeInfo\&quot;:null,\&quot;showLabels\&quot;:true,\&quot;featureCollection\&quot;:{\&quot;layers\&quot;:[{\&quot;popupInfo\&quot;:{\&quot;popupElements\&quot;:[{\&quot;type\&quot;:\&quot;fields\&quot;,\&quot;fieldInfos\&quot;:[{\&quot;fieldName\&quot;:\&quot;expression/excel_row_id\&quot;,\&quot;isEditable\&quot;:true,\&quot;label\&quot;:\&quot;rowId\&quot;,\&quot;visible\&quot;:true},{\&quot;fieldName\&quot;:\&quot;expression/FIELD_NAME_U\&quot;,\&quot;isEditable\&quot;:true,\&quot;label\&quot;:\&quot;4,6869\&quot;,\&quot;visible\&quot;:true},{\&quot;fieldName\&quot;:\&quot;expression/FIELD_NAME_V\&quot;,\&quot;isEditable\&quot;:true,\&quot;label\&quot;:\&quot;-74,1144\&quot;,\&quot;visible\&quot;:true}]}],\&quot;expressionInfos\&quot;:[{\&quot;name\&quot;:\&quot;excel_row_id\&quot;,\&quot;title\&quot;:\&quot;rowId\&quot;,\&quot;expression\&quot;:\&quot;Text($feature[\\\&quot;excel_row_id\\\&quot;], \\\&quot;#.##############################\\\&quot;)\&quot;},{\&quot;name\&quot;:\&quot;FIELD_NAME_U\&quot;,\&quot;title\&quot;:\&quot;4,6869\&quot;,\&quot;expression\&quot;:\&quot;// Excel number format: 0.0000\\n\\nif (IsEmpty($feature[\\\&quot;FIELD_NAME_U\\\&quot;]))\\n{\\n  return $feature[\\\&quot;FIELD_NAME_U\\\&quot;] \\n}\\nText($feature[\\\&quot;FIELD_NAME_U\\\&quot;], \\\&quot;#0.0000\\\&quot;)\&quot;},{\&quot;name\&quot;:\&quot;FIELD_NAME_V\&quot;,\&quot;title\&quot;:\&quot;-74,1144\&quot;,\&quot;expression\&quot;:\&quot;// Excel number format: 0.0000\\n\\nif (IsEmpty($feature[\\\&quot;FIELD_NAME_V\\\&quot;]))\\n{\\n  return $feature[\\\&quot;FIELD_NAME_V\\\&quot;] \\n}\\nText($feature[\\\&quot;FIELD_NAME_V\\\&quot;], \\\&quot;#0.0000\\\&quot;)\&quot;}],\&quot;fieldInfos\&quot;:[{\&quot;fieldName\&quot;:\&quot;objectId\&quot;,\&quot;isEditable\&quot;:true,\&quot;label\&quot;:\&quot;objectId\&quot;,\&quot;tooltip\&quot;:\&quot;\&quot;,\&quot;visible\&quot;:false},{\&quot;fieldName\&quot;:\&quot;excel_row_id\&quot;,\&quot;format\&quot;:{\&quot;digitSeparator\&quot;:true,\&quot;places\&quot;:2},\&quot;isEditable\&quot;:true,\&quot;label\&quot;:\&quot;rowId\&quot;,\&quot;tooltip\&quot;:\&quot;\&quot;,\&quot;visible\&quot;:false},{\&quot;fieldName\&quot;:\&quot;expression/excel_row_id\&quot;,\&quot;isEditable\&quot;:true,\&quot;label\&quot;:\&quot;rowId\&quot;,\&quot;visible\&quot;:true},{\&quot;fieldName\&quot;:\&quot;FIELD_NAME_U\&quot;,\&quot;format\&quot;:{\&quot;digitSeparator\&quot;:true,\&quot;places\&quot;:2},\&quot;isEditable\&quot;:true,\&quot;label\&quot;:\&quot;4,6869\&quot;,\&quot;tooltip\&quot;:\&quot;\&quot;,\&quot;visible\&quot;:false},{\&quot;fieldName\&quot;:\&quot;expression/FIELD_NAME_U\&quot;,\&quot;isEditable\&quot;:true,\&quot;label\&quot;:\&quot;4,6869\&quot;,\&quot;visible\&quot;:true},{\&quot;fieldName\&quot;:\&quot;FIELD_NAME_V\&quot;,\&quot;format\&quot;:{\&quot;digitSeparator\&quot;:true,\&quot;places\&quot;:2},\&quot;isEditable\&quot;:true,\&quot;label\&quot;:\&quot;-74,1144\&quot;,\&quot;tooltip\&quot;:\&quot;\&quot;,\&quot;visible\&quot;:false},{\&quot;fieldName\&quot;:\&quot;expression/FIELD_NAME_V\&quot;,\&quot;isEditable\&quot;:true,\&quot;label\&quot;:\&quot;-74,1144\&quot;,\&quot;visible\&quot;:true}],\&quot;title\&quot;:\&quot;\&quot;,\&quot;actions\&quot;:[]},\&quot;effect\&quot;:null,\&quot;layerDefinition\&quot;:{\&quot;objectIdField\&quot;:\&quot;objectId\&quot;,\&quot;fields\&quot;:[{\&quot;alias\&quot;:\&quot;objectId\&quot;,\&quot;editable\&quot;:true,\&quot;name\&quot;:\&quot;objectId\&quot;,\&quot;nullable\&quot;:true,\&quot;type\&quot;:\&quot;esriFieldTypeOID\&quot;},{\&quot;alias\&quot;:\&quot;rowId\&quot;,\&quot;editable\&quot;:true,\&quot;name\&quot;:\&quot;excel_row_id\&quot;,\&quot;nullable\&quot;:true,\&quot;type\&quot;:\&quot;esriFieldTypeDouble\&quot;},{\&quot;alias\&quot;:\&quot;4,6869\&quot;,\&quot;editable\&quot;:true,\&quot;name\&quot;:\&quot;FIELD_NAME_U\&quot;,\&quot;nullable\&quot;:true,\&quot;type\&quot;:\&quot;esriFieldTypeDouble\&quot;},{\&quot;alias\&quot;:\&quot;-74,1144\&quot;,\&quot;editable\&quot;:true,\&quot;name\&quot;:\&quot;FIELD_NAME_V\&quot;,\&quot;nullable\&quot;:true,\&quot;type\&quot;:\&quot;esriFieldTypeDouble\&quot;}],\&quot;geometryType\&quot;:\&quot;point\&quot;,\&quot;drawingInfo\&quot;:{\&quot;renderer\&quot;:{\&quot;type\&quot;:\&quot;simple\&quot;,\&quot;symbol\&quot;:{\&quot;type\&quot;:\&quot;esriSMS\&quot;,\&quot;color\&quot;:[29,111,66,230],\&quot;angle\&quot;:0,\&quot;xoffset\&quot;:0,\&quot;yoffset\&quot;:0,\&quot;size\&quot;:10,\&quot;style\&quot;:\&quot;esriSMSCircle\&quot;,\&quot;outline\&quot;:{\&quot;type\&quot;:\&quot;esriSLS\&quot;,\&quot;color\&quot;:[255,255,255,230],\&quot;width\&quot;:1,\&quot;style\&quot;:\&quot;esriSLSSolid\&quot;}}},\&quot;transparency\&quot;:0},\&quot;featureReduction\&quot;:null,\&quot;locationProvider\&quot;:{\&quot;type\&quot;:\&quot;coordinates\&quot;,\&quot;lookupFields\&quot;:[{\&quot;lookupField\&quot;:\&quot;xFieldName\&quot;,\&quot;outField\&quot;:\&quot;FIELD_NAME_V\&quot;},{\&quot;lookupField\&quot;:\&quot;yFieldName\&quot;,\&quot;outField\&quot;:\&quot;FIELD_NAME_U\&quot;}],\&quot;sourceSR\&quot;:4326,\&quot;targetSR\&quot;:102100},\&quot;minScale\&quot;:0,\&quot;maxScale\&quot;:0,\&quot;definitionExpression\&quot;:null,\&quot;templates\&quot;:[{\&quot;name\&quot;:\&quot;New Feature\&quot;,\&quot;description\&quot;:\&quot;\&quot;,\&quot;prototype\&quot;:{\&quot;attributes\&quot;:{\&quot;excel_row_id\&quot;:null,\&quot;FIELD_NAME_U\&quot;:null,\&quot;FIELD_NAME_V\&quot;:null}}}],\&quot;elevationInfo\&quot;:null,\&quot;name\&quot;:\&quot;'Expansion_2025-11-10-11.35.01'!U2:V74\&quot;,\&quot;type\&quot;:\&quot;DataLayer\&quot;,\&quot;queryParameters\&quot;:{\&quot;tableId\&quot;:\&quot;cellRange-9gU6Q\&quot;}},\&quot;featureSet\&quot;:{\&quot;features\&quot;:[{\&quot;attributes\&quot;:{},\&quot;geometry\&quot;:{\&quot;x\&quot;:0,\&quot;y\&quot;:0,\&quot;type\&quot;:\&quot;point\&quot;,\&quot;spatialReference\&quot;:{\&quot;latestWkid\&quot;:3857,\&quot;wkid\&quot;:102100}}}]}}]}}],\&quot;tables\&quot;:[],\&quot;baseMap\&quot;:{\&quot;baseMapLayers\&quot;:[{\&quot;id\&quot;:\&quot;World_Hillshade_3805\&quot;,\&quot;opacity\&quot;:1,\&quot;title\&quot;:\&quot;Sombreado mundial\&quot;,\&quot;url\&quot;:\&quot;https://services.arcgisonline.com/arcgis/rest/services/Elevation/World_Hillshade/MapServer\&quot;,\&quot;visibility\&quot;:true,\&quot;layerType\&quot;:\&quot;ArcGISTiledMapServiceLayer\&quot;},{\&quot;id\&quot;:\&quot;VectorTile_2333\&quot;,\&quot;opacity\&quot;:1,\&quot;title\&quot;:\&quot;Mapa topográfico mundial\&quot;,\&quot;visibility\&quot;:true,\&quot;layerType\&quot;:\&quot;VectorTileLayer\&quot;,\&quot;styleUrl\&quot;:\&quot;https://cdn.arcgis.com/sharing/rest/content/items/0d27022487ad4e09ae8f274e8d502776/resources/styles/root.json\&quot;}],\&quot;title\&quot;:\&quot;Topográfico\&quot;},\&quot;version\&quot;:\&quot;2.26\&quot;,\&quot;authoringApp\&quot;:\&quot;ArcGIS for Excel\&quot;,\&quot;bookmarks\&quot;:[],\&quot;initialState\&quot;:{\&quot;viewpoint\&quot;:{\&quot;targetGeometry\&quot;:{\&quot;spatialReference\&quot;:{\&quot;latestWkid\&quot;:3857,\&quot;wkid\&quot;:102100},\&quot;xmin\&quot;:-8468353.965953693,\&quot;ymin\&quot;:259625.21508279743,\&quot;xmax\&quot;:-8069658.42641832,\&quot;ymax\&quot;:780619.9998744202}}}}},\&quot;webmapExtensions\&quot;:{\&quot;format\&quot;:2}}}&quot;"/>
    <we:property name="arcgis-connection" value="&quot;{\&quot;portalUrl\&quot;:\&quot;https://www.arcgis.com\&quot;}&quot;"/>
  </we:properties>
  <we:bindings>
    <we:binding id="cellRange-9gU6Q" type="matrix" appref="{D1D96084-D2D0-44CF-A08D-F551EC34CEFB}"/>
  </we:bindings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_xldudf_ARCGIS_REVERSEGEOCODE</we:customFunctionIds>
        <we:customFunctionIds>_xldudf_ARCGIS_GEOCODE</we:customFunctionIds>
        <we:customFunctionIds>_xldudf_ARCGIS_ENRICHBYPOINT</we:customFunctionIds>
        <we:customFunctionIds>_xldudf_ARCGIS_ENRICHBYGEOGRAPHY</we:customFunctionIds>
        <we:customFunctionIds>_xldudf_ARCGIS_ENRICHBYADDRESS</we:customFunctionIds>
        <we:customFunctionIds>_xldudf_ARCGIS_ENRICHBYPOLYGON</we:customFunctionIds>
        <we:customFunctionIds>_xldudf_ARCGIS_FINDROUTEBYCOORDINATES</we:customFunctionIds>
        <we:customFunctionIds>_xldudf_ARCGIS_FINDROUTEBYADDRESS</we:customFunctionIds>
        <we:customFunctionIds>_xldudf_ARCGIS_VERTICESTOESRIJSON</we:customFunctionIds>
        <we:customFunctionIds>_xldudf_ARCGIS_CONVERTTOESRIJSON</we:customFunctionIds>
        <we:customFunctionIds>_xldudf_ARCGIS_GETPOLYGONAREA</we:customFunctionIds>
        <we:customFunctionIds>_xldudf_ARCGIS_GETGEOMETRYLENGTH</we:customFunctionIds>
        <we:customFunctionIds>_xldudf_ARCGIS_GETGEOMETRYDISTANCE</we:customFunctionIds>
        <we:customFunctionIds>_xldudf_ARCGIS_GETCENTROID</we:customFunctionIds>
        <we:customFunctionIds>_xldudf_ARCGIS_RELATEGEOMETRIES</we:customFunctionIds>
        <we:customFunctionIds>_xldudf_ARCGIS_GENERALIZEGEOMETRY</we:customFunctionIds>
        <we:customFunctionIds>_xldudf_ARCGIS_SUGGESTADDRESS</we:customFunctionIds>
        <we:customFunctionIds>_xldudf_ARCGIS_GETGEOMETRY</we:customFunctionIds>
        <we:customFunctionIds>_xldudf_ARCGIS_LISTGEOGRAPHIES</we:customFunctionIds>
        <we:customFunctionIds>_xldudf_ARCGIS_LISTDATACOLLECTIONS</we:customFunctionIds>
        <we:customFunctionIds>_xldudf_ARCGIS_LISTTRAVELMODES</we:customFunctionIds>
        <we:customFunctionIds>_xldudf_ARCGIS_ADDHEADERS</we:customFunctionIds>
        <we:customFunctionIds>_xldudf_ARCGIS_COORDINATETONOTATION</we:customFunctionIds>
        <we:customFunctionIds>_xldudf_ARCGIS_COORDINATEFROMNOTATION</we:customFunctionIds>
        <we:customFunctionIds>_xldudf_ARCGIS_PROJECTPOINT</we:customFunctionIds>
        <we:customFunctionIds>_xldudf_ARCGIS_PROJECTGEOMETRY</we:customFunctionIds>
      </we:customFunctionIdList>
    </a:ext>
    <a:ext xmlns:a="http://schemas.openxmlformats.org/drawingml/2006/main" uri="{0858819E-0033-43BF-8937-05EC82904868}">
      <we:backgroundApp state="1" runtimeId="Esri.TaskPane.Url"/>
    </a:ext>
  </we:extLst>
</we:webextension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aze.com/ul?a=share_drive&amp;locale=en&amp;sd=8V1N9lyGxeYy2cyyFQ-sd&amp;env=row&amp;utm_source=waze_app&amp;utm_campaign=share_drive" TargetMode="External"/><Relationship Id="rId21" Type="http://schemas.openxmlformats.org/officeDocument/2006/relationships/hyperlink" Target="https://maps.app.goo.gl/8ZCCS79gfk7pGP9C6?g_st=iw" TargetMode="External"/><Relationship Id="rId42" Type="http://schemas.openxmlformats.org/officeDocument/2006/relationships/hyperlink" Target="https://maps.app.goo.gl/BKx91rDJ4CJKfCNt7?g_st=ac" TargetMode="External"/><Relationship Id="rId47" Type="http://schemas.openxmlformats.org/officeDocument/2006/relationships/hyperlink" Target="https://maps.app.goo.gl/iQjt8Ebm6H8CuvqJ8?g_st=ac" TargetMode="External"/><Relationship Id="rId63" Type="http://schemas.openxmlformats.org/officeDocument/2006/relationships/hyperlink" Target="https://oxxo-colombia.oneapp.cl/static/img/Respuesta/63235378/ba7e80d8123a945309a14b94fa26aff4.jpg" TargetMode="External"/><Relationship Id="rId68" Type="http://schemas.openxmlformats.org/officeDocument/2006/relationships/hyperlink" Target="https://oxxo-colombia.oneapp.cl/static/img/Respuesta/63234280/1eb00ebff368e6719f9c1bc3b3edb8fd.jpg" TargetMode="External"/><Relationship Id="rId84" Type="http://schemas.openxmlformats.org/officeDocument/2006/relationships/hyperlink" Target="https://oxxo-colombia.oneapp.cl/static/img/Respuesta/63294600/7253b93995d8241c71ecc67ada873de3.jpg" TargetMode="External"/><Relationship Id="rId89" Type="http://schemas.openxmlformats.org/officeDocument/2006/relationships/hyperlink" Target="https://oxxo-colombia.oneapp.cl/static/img/Respuesta/63387714/f124d584558a775b084329f8f42f49cf.jpg" TargetMode="External"/><Relationship Id="rId112" Type="http://schemas.openxmlformats.org/officeDocument/2006/relationships/hyperlink" Target="https://maps.app.goo.gl/ymfHXiNdeYS13h6z5" TargetMode="External"/><Relationship Id="rId16" Type="http://schemas.openxmlformats.org/officeDocument/2006/relationships/hyperlink" Target="https://maps.app.goo.gl/XKjbjeAS9omZeFTB7?g_st=iw" TargetMode="External"/><Relationship Id="rId107" Type="http://schemas.openxmlformats.org/officeDocument/2006/relationships/hyperlink" Target="https://oxxo-colombia.oneapp.cl/static/img/Respuesta/63472348/12261a71bb8bb40f9cbf719a9710877a.jpg" TargetMode="External"/><Relationship Id="rId11" Type="http://schemas.openxmlformats.org/officeDocument/2006/relationships/hyperlink" Target="https://maps.app.goo.gl/uNEnpfgoDAbeptMD7?g_st=ac" TargetMode="External"/><Relationship Id="rId32" Type="http://schemas.openxmlformats.org/officeDocument/2006/relationships/hyperlink" Target="https://maps.app.goo.gl/6YBR9JYLZWtzb83y7?g_st=ac" TargetMode="External"/><Relationship Id="rId37" Type="http://schemas.openxmlformats.org/officeDocument/2006/relationships/hyperlink" Target="https://maps.app.goo.gl/EyCAWArR3m9TpYUx7?g_st=ac" TargetMode="External"/><Relationship Id="rId53" Type="http://schemas.openxmlformats.org/officeDocument/2006/relationships/hyperlink" Target="https://maps.app.goo.gl/p5zUjk4WGLsFS4F36?g_st=ac" TargetMode="External"/><Relationship Id="rId58" Type="http://schemas.openxmlformats.org/officeDocument/2006/relationships/hyperlink" Target="https://maps.app.goo.gl/JSyt4qJYuenXjgtm6" TargetMode="External"/><Relationship Id="rId74" Type="http://schemas.openxmlformats.org/officeDocument/2006/relationships/hyperlink" Target="https://oxxo-colombia.oneapp.cl/static/img/Respuesta/63236045/61f38cb8a2537eb126a93f4752a4f3cf.jpg" TargetMode="External"/><Relationship Id="rId79" Type="http://schemas.openxmlformats.org/officeDocument/2006/relationships/hyperlink" Target="https://oxxo-colombia.oneapp.cl/static/img/Respuesta/63291098/925b5afb34e9d861486cda56304edf36.jpg" TargetMode="External"/><Relationship Id="rId102" Type="http://schemas.openxmlformats.org/officeDocument/2006/relationships/hyperlink" Target="https://maps.app.goo.gl/9gHjCQ8JNhUSZAr89" TargetMode="External"/><Relationship Id="rId123" Type="http://schemas.openxmlformats.org/officeDocument/2006/relationships/hyperlink" Target="https://oxxo-colombia.oneapp.cl/static/img/Respuesta/63531072/40f0ec34b6a6d208a3be21783609d112.jpg" TargetMode="External"/><Relationship Id="rId128" Type="http://schemas.openxmlformats.org/officeDocument/2006/relationships/hyperlink" Target="https://maps.app.goo.gl/nhxsEgVNz5Babgvk8?g_st=ac" TargetMode="External"/><Relationship Id="rId5" Type="http://schemas.openxmlformats.org/officeDocument/2006/relationships/hyperlink" Target="mailto:memito-palacio@hotmail.com" TargetMode="External"/><Relationship Id="rId90" Type="http://schemas.openxmlformats.org/officeDocument/2006/relationships/hyperlink" Target="https://oxxo-colombia.oneapp.cl/static/img/Respuesta/63388027/680b1b6f582e2dd2d7445085ee62dc31.jpg" TargetMode="External"/><Relationship Id="rId95" Type="http://schemas.openxmlformats.org/officeDocument/2006/relationships/hyperlink" Target="https://oxxo-colombia.oneapp.cl/static/img/Respuesta/63394453/4ce43c6a140a896060f568d78a9c6b47.jpg" TargetMode="External"/><Relationship Id="rId22" Type="http://schemas.openxmlformats.org/officeDocument/2006/relationships/hyperlink" Target="https://maps.app.goo.gl/PhzXtYjgkKMemPb39?g_st=iw" TargetMode="External"/><Relationship Id="rId27" Type="http://schemas.openxmlformats.org/officeDocument/2006/relationships/hyperlink" Target="https://maps.app.goo.gl/5bYucWhBPLEHru7D8" TargetMode="External"/><Relationship Id="rId43" Type="http://schemas.openxmlformats.org/officeDocument/2006/relationships/hyperlink" Target="https://maps.app.goo.gl/3zpfDx5Jekfv4v86A?g_st=ac" TargetMode="External"/><Relationship Id="rId48" Type="http://schemas.openxmlformats.org/officeDocument/2006/relationships/hyperlink" Target="https://maps.app.goo.gl/974Kc9pnwF5W8VPB9?g_st=aw" TargetMode="External"/><Relationship Id="rId64" Type="http://schemas.openxmlformats.org/officeDocument/2006/relationships/hyperlink" Target="https://oxxo-colombia.oneapp.cl/static/img/Respuesta/63235704/1cbcf88bc193677f42e920ff2e2cedc4.jpg" TargetMode="External"/><Relationship Id="rId69" Type="http://schemas.openxmlformats.org/officeDocument/2006/relationships/hyperlink" Target="https://oxxo-colombia.oneapp.cl/static/img/Respuesta/63235652/1fb2d400043bca38cf104da0f63ee849.jpg" TargetMode="External"/><Relationship Id="rId113" Type="http://schemas.openxmlformats.org/officeDocument/2006/relationships/hyperlink" Target="https://maps.app.goo.gl/wWKVF48JrE8q8e8h8?g_st=ac" TargetMode="External"/><Relationship Id="rId118" Type="http://schemas.openxmlformats.org/officeDocument/2006/relationships/hyperlink" Target="https://oxxo-colombia.oneapp.cl/static/img/Respuesta/63481463/ec3b5f4110968e87a1580adf4a6fa097.jpg" TargetMode="External"/><Relationship Id="rId80" Type="http://schemas.openxmlformats.org/officeDocument/2006/relationships/hyperlink" Target="https://oxxo-colombia.oneapp.cl/static/img/Respuesta/63293537/48e2c5117bc1a0a0052f685f2e7aa552.jpg" TargetMode="External"/><Relationship Id="rId85" Type="http://schemas.openxmlformats.org/officeDocument/2006/relationships/hyperlink" Target="https://oxxo-colombia.oneapp.cl/static/img/Respuesta/63294622/fccf04f93e0c28772b29a0162ac620e3.jpg" TargetMode="External"/><Relationship Id="rId12" Type="http://schemas.openxmlformats.org/officeDocument/2006/relationships/hyperlink" Target="https://maps.app.goo.gl/37dHFgR4RCV1TvPe8?g_st=ic" TargetMode="External"/><Relationship Id="rId17" Type="http://schemas.openxmlformats.org/officeDocument/2006/relationships/hyperlink" Target="https://maps.app.goo.gl/qaYbvGnqLY1HZztv8" TargetMode="External"/><Relationship Id="rId33" Type="http://schemas.openxmlformats.org/officeDocument/2006/relationships/hyperlink" Target="https://maps.app.goo.gl/sq7pMrES6283SMyr6?g_st=ac" TargetMode="External"/><Relationship Id="rId38" Type="http://schemas.openxmlformats.org/officeDocument/2006/relationships/hyperlink" Target="https://maps.app.goo.gl/wbcjBnHS4KwUYnNN9?g_st=ac" TargetMode="External"/><Relationship Id="rId59" Type="http://schemas.openxmlformats.org/officeDocument/2006/relationships/hyperlink" Target="https://maps.app.goo.gl/Re2hX3yEGKe3qDFh6" TargetMode="External"/><Relationship Id="rId103" Type="http://schemas.openxmlformats.org/officeDocument/2006/relationships/hyperlink" Target="https://maps.app.goo.gl/9be5Sa4knHdePcCg7" TargetMode="External"/><Relationship Id="rId108" Type="http://schemas.openxmlformats.org/officeDocument/2006/relationships/hyperlink" Target="https://oxxo-colombia.oneapp.cl/static/img/Respuesta/63473872/8ced33c2aa175cdc87cce1e11e84289d.jpg" TargetMode="External"/><Relationship Id="rId124" Type="http://schemas.openxmlformats.org/officeDocument/2006/relationships/hyperlink" Target="https://oxxo-colombia.oneapp.cl/static/img/Respuesta/63542159/8c778d83efbfb90bada865369b9af7ea.jpg" TargetMode="External"/><Relationship Id="rId129" Type="http://schemas.openxmlformats.org/officeDocument/2006/relationships/hyperlink" Target="https://maps.app.goo.gl/pxREnmWsp615k6Tm6?g_st=ac" TargetMode="External"/><Relationship Id="rId54" Type="http://schemas.openxmlformats.org/officeDocument/2006/relationships/hyperlink" Target="https://maps.app.goo.gl/YkLLtdtkCjYSog6J7?g_st=ac" TargetMode="External"/><Relationship Id="rId70" Type="http://schemas.openxmlformats.org/officeDocument/2006/relationships/hyperlink" Target="https://maps.app.goo.gl/JrkTt1eXML1QMxUc8" TargetMode="External"/><Relationship Id="rId75" Type="http://schemas.openxmlformats.org/officeDocument/2006/relationships/hyperlink" Target="https://oxxo-colombia.oneapp.cl/static/img/Respuesta/63236068/c868ccb2be43c2d4111c12a827094da7.jpg" TargetMode="External"/><Relationship Id="rId91" Type="http://schemas.openxmlformats.org/officeDocument/2006/relationships/hyperlink" Target="https://oxxo-colombia.oneapp.cl/static/img/Respuesta/63388253/8450c81c64856218bb75aca92028cb1f.jpg" TargetMode="External"/><Relationship Id="rId96" Type="http://schemas.openxmlformats.org/officeDocument/2006/relationships/hyperlink" Target="https://oxxo-colombia.oneapp.cl/static/img/Respuesta/63394569/5e176010cd3a3d3e5cef11dfd46a4adc.jpg" TargetMode="External"/><Relationship Id="rId1" Type="http://schemas.openxmlformats.org/officeDocument/2006/relationships/hyperlink" Target="https://maps.app.goo.gl/ARHY4pjoMEGefriy5?g_st=iw" TargetMode="External"/><Relationship Id="rId6" Type="http://schemas.openxmlformats.org/officeDocument/2006/relationships/hyperlink" Target="https://maps.app.goo.gl/ZQgrkgw8KHzSeLA8A?g_st=iw" TargetMode="External"/><Relationship Id="rId23" Type="http://schemas.openxmlformats.org/officeDocument/2006/relationships/hyperlink" Target="https://maps.app.goo.gl/RXJBFg5X1vNJ3zZ66?g_st=iw" TargetMode="External"/><Relationship Id="rId28" Type="http://schemas.openxmlformats.org/officeDocument/2006/relationships/hyperlink" Target="https://maps.app.goo.gl/QEQfuLMTfSvDtyZS7?g_st=ac" TargetMode="External"/><Relationship Id="rId49" Type="http://schemas.openxmlformats.org/officeDocument/2006/relationships/hyperlink" Target="https://maps.app.goo.gl/mPEriJi82CJKdctc8?g_st=ac" TargetMode="External"/><Relationship Id="rId114" Type="http://schemas.openxmlformats.org/officeDocument/2006/relationships/hyperlink" Target="https://maps.app.goo.gl/GBScWx7NhvVVE3s48?g_st=ac" TargetMode="External"/><Relationship Id="rId119" Type="http://schemas.openxmlformats.org/officeDocument/2006/relationships/hyperlink" Target="https://maps.app.goo.gl/g2fFnMnz5Zvc15pd8?g_st=aw" TargetMode="External"/><Relationship Id="rId44" Type="http://schemas.openxmlformats.org/officeDocument/2006/relationships/hyperlink" Target="https://maps.app.goo.gl/XQdTnYufh5YeLTcXA?g_st=ac" TargetMode="External"/><Relationship Id="rId60" Type="http://schemas.openxmlformats.org/officeDocument/2006/relationships/hyperlink" Target="https://maps.app.goo.gl/tguqLex5RC5W2E976?g_st=ac" TargetMode="External"/><Relationship Id="rId65" Type="http://schemas.openxmlformats.org/officeDocument/2006/relationships/hyperlink" Target="https://oxxo-colombia.oneapp.cl/static/img/Respuesta/63235758/c10391636aa52d896f9c53fc97b340ed.jpg" TargetMode="External"/><Relationship Id="rId81" Type="http://schemas.openxmlformats.org/officeDocument/2006/relationships/hyperlink" Target="https://oxxo-colombia.oneapp.cl/static/img/Respuesta/63293647/9188c0495b21b3c3d21ec7a66cbd5560.jpg" TargetMode="External"/><Relationship Id="rId86" Type="http://schemas.openxmlformats.org/officeDocument/2006/relationships/hyperlink" Target="https://oxxo-colombia.oneapp.cl/static/img/Respuesta/63294725/7a5a93d337453201c642d86559be42f6.jpg" TargetMode="External"/><Relationship Id="rId130" Type="http://schemas.openxmlformats.org/officeDocument/2006/relationships/hyperlink" Target="https://maps.app.goo.gl/EWerdR7AGb8aMJ3H7?g_st=awb" TargetMode="External"/><Relationship Id="rId13" Type="http://schemas.openxmlformats.org/officeDocument/2006/relationships/hyperlink" Target="https://maps.app.goo.gl/FbPpk8UWb766FAqY8?g_st=ic" TargetMode="External"/><Relationship Id="rId18" Type="http://schemas.openxmlformats.org/officeDocument/2006/relationships/hyperlink" Target="https://maps.app.goo.gl/xG4YUUbdmJKMJHGW8?g_st=aw" TargetMode="External"/><Relationship Id="rId39" Type="http://schemas.openxmlformats.org/officeDocument/2006/relationships/hyperlink" Target="https://maps.app.goo.gl/TCHUdwg6A8YgVuCz5?g_st=ac" TargetMode="External"/><Relationship Id="rId109" Type="http://schemas.openxmlformats.org/officeDocument/2006/relationships/hyperlink" Target="https://oxxo-colombia.oneapp.cl/static/img/Respuesta/63479989/0d67d0038cba0e2747d103ff8d71578a.jpg" TargetMode="External"/><Relationship Id="rId34" Type="http://schemas.openxmlformats.org/officeDocument/2006/relationships/hyperlink" Target="https://maps.app.goo.gl/mWPt1WTFKARjgwHP6?g_st=ac" TargetMode="External"/><Relationship Id="rId50" Type="http://schemas.openxmlformats.org/officeDocument/2006/relationships/hyperlink" Target="https://maps.app.goo.gl/WcJZpZR1WDn3aMew7?g_st=ac" TargetMode="External"/><Relationship Id="rId55" Type="http://schemas.openxmlformats.org/officeDocument/2006/relationships/hyperlink" Target="https://maps.app.goo.gl/9gYzbHpcbRQwNBec9?g_st=ac" TargetMode="External"/><Relationship Id="rId76" Type="http://schemas.openxmlformats.org/officeDocument/2006/relationships/hyperlink" Target="https://oxxo-colombia.oneapp.cl/static/img/Respuesta/63236267/086de637da14c4093d2c2bbe9e337aab.jpg" TargetMode="External"/><Relationship Id="rId97" Type="http://schemas.openxmlformats.org/officeDocument/2006/relationships/hyperlink" Target="https://oxxo-colombia.oneapp.cl/static/img/Respuesta/63397732/f30122521ce1f02acb830415f1166331.jpg" TargetMode="External"/><Relationship Id="rId104" Type="http://schemas.openxmlformats.org/officeDocument/2006/relationships/hyperlink" Target="https://oxxo-colombia.oneapp.cl/static/img/Respuesta/63468888/e21c224365c6b6fbd1bf9e26ead23e92.jpg" TargetMode="External"/><Relationship Id="rId120" Type="http://schemas.openxmlformats.org/officeDocument/2006/relationships/hyperlink" Target="https://maps.app.goo.gl/Fqt5xWrLJWy62G8s6?g_st=iwb" TargetMode="External"/><Relationship Id="rId125" Type="http://schemas.openxmlformats.org/officeDocument/2006/relationships/hyperlink" Target="https://oxxo-colombia.oneapp.cl/static/img/Respuesta/63544029/695857ab517fc87a28d8771d12e45a5d.jpg" TargetMode="External"/><Relationship Id="rId7" Type="http://schemas.openxmlformats.org/officeDocument/2006/relationships/hyperlink" Target="https://maps.app.goo.gl/a95PSeawc8zDeAyD7" TargetMode="External"/><Relationship Id="rId71" Type="http://schemas.openxmlformats.org/officeDocument/2006/relationships/hyperlink" Target="https://maps.app.goo.gl/jdeQFRYYpEDtfF3c8" TargetMode="External"/><Relationship Id="rId92" Type="http://schemas.openxmlformats.org/officeDocument/2006/relationships/hyperlink" Target="https://oxxo-colombia.oneapp.cl/static/img/Respuesta/63388428/172038a89dc04695c868088d514e5543.jpg" TargetMode="External"/><Relationship Id="rId2" Type="http://schemas.openxmlformats.org/officeDocument/2006/relationships/hyperlink" Target="https://maps.app.goo.gl/RdznzFN8oeXt4BzY8?g_st=iw" TargetMode="External"/><Relationship Id="rId29" Type="http://schemas.openxmlformats.org/officeDocument/2006/relationships/hyperlink" Target="https://maps.app.goo.gl/DsZejbLUvxEXoxAA6?g_st=awb" TargetMode="External"/><Relationship Id="rId24" Type="http://schemas.openxmlformats.org/officeDocument/2006/relationships/hyperlink" Target="https://maps.app.goo.gl/xqXqLXgy7UCyB6pz9?g_st=ac" TargetMode="External"/><Relationship Id="rId40" Type="http://schemas.openxmlformats.org/officeDocument/2006/relationships/hyperlink" Target="https://share.google/CPQ8CQuA70rGqPrMw" TargetMode="External"/><Relationship Id="rId45" Type="http://schemas.openxmlformats.org/officeDocument/2006/relationships/hyperlink" Target="https://maps.app.goo.gl/BS9YHfeBx8LigNK16?g_st=aw" TargetMode="External"/><Relationship Id="rId66" Type="http://schemas.openxmlformats.org/officeDocument/2006/relationships/hyperlink" Target="https://oxxo-colombia.oneapp.cl/static/img/Respuesta/63235871/7145912e4d14bfd5caa7936f3a4fec12.jpg" TargetMode="External"/><Relationship Id="rId87" Type="http://schemas.openxmlformats.org/officeDocument/2006/relationships/hyperlink" Target="https://oxxo-colombia.oneapp.cl/static/img/Respuesta/63339353/7705c68cb3cdebfb03b58f15fa9ec0c1.jpg" TargetMode="External"/><Relationship Id="rId110" Type="http://schemas.openxmlformats.org/officeDocument/2006/relationships/hyperlink" Target="https://oxxo-colombia.oneapp.cl/static/img/Respuesta/63480559/b4e8d1bb66dbafb897aca7ddf8cf17fe.jpg" TargetMode="External"/><Relationship Id="rId115" Type="http://schemas.openxmlformats.org/officeDocument/2006/relationships/hyperlink" Target="https://maps.app.goo.gl/31DhpNG6HC1Mw5bK8?g_st=aw" TargetMode="External"/><Relationship Id="rId131" Type="http://schemas.openxmlformats.org/officeDocument/2006/relationships/hyperlink" Target="https://maps.app.goo.gl/NXWr1QaBXb9ygttZ8?g_st=ac" TargetMode="External"/><Relationship Id="rId61" Type="http://schemas.openxmlformats.org/officeDocument/2006/relationships/hyperlink" Target="https://maps.app.goo.gl/ycEJu2jwy79qR4py8?g_st=ac" TargetMode="External"/><Relationship Id="rId82" Type="http://schemas.openxmlformats.org/officeDocument/2006/relationships/hyperlink" Target="https://oxxo-colombia.oneapp.cl/static/img/Respuesta/63293713/30ff14b7ee68ac494983b41968add7a0.jpg" TargetMode="External"/><Relationship Id="rId19" Type="http://schemas.openxmlformats.org/officeDocument/2006/relationships/hyperlink" Target="https://oxxo-colombia.oneapp.cl/static/img/Respuesta/62915009/fc0338b1145297bcaa7fe7e1a19bac18.jpg" TargetMode="External"/><Relationship Id="rId14" Type="http://schemas.openxmlformats.org/officeDocument/2006/relationships/hyperlink" Target="https://goo.gl/maps/hD1QaqZei8hNKnUy5?g_st=aw" TargetMode="External"/><Relationship Id="rId30" Type="http://schemas.openxmlformats.org/officeDocument/2006/relationships/hyperlink" Target="https://maps.app.goo.gl/crfJcUJxJcrVFGAw8?g_st=awb" TargetMode="External"/><Relationship Id="rId35" Type="http://schemas.openxmlformats.org/officeDocument/2006/relationships/hyperlink" Target="https://maps.app.goo.gl/U51zZk2Qhyu1RYGE8?g_st=ac" TargetMode="External"/><Relationship Id="rId56" Type="http://schemas.openxmlformats.org/officeDocument/2006/relationships/hyperlink" Target="https://maps.app.goo.gl/nkuWwF8dxLDuY6YZ9?g_st=ac" TargetMode="External"/><Relationship Id="rId77" Type="http://schemas.openxmlformats.org/officeDocument/2006/relationships/hyperlink" Target="https://oxxo-colombia.oneapp.cl/static/img/Respuesta/63283434/7cc75b63444a0be61f41df29f8e2f7fe.jpg" TargetMode="External"/><Relationship Id="rId100" Type="http://schemas.openxmlformats.org/officeDocument/2006/relationships/hyperlink" Target="https://maps.app.goo.gl/k1gwEEtxGUx6kpUJA" TargetMode="External"/><Relationship Id="rId105" Type="http://schemas.openxmlformats.org/officeDocument/2006/relationships/hyperlink" Target="https://oxxo-colombia.oneapp.cl/static/img/Respuesta/63470672/ee68e71181e2f90364fcf0ea3365e8f0.jpg" TargetMode="External"/><Relationship Id="rId126" Type="http://schemas.openxmlformats.org/officeDocument/2006/relationships/hyperlink" Target="https://oxxo-colombia.oneapp.cl/static/img/Respuesta/63546844/38eb463ec99868d56379ebddff280999.jpg" TargetMode="External"/><Relationship Id="rId8" Type="http://schemas.openxmlformats.org/officeDocument/2006/relationships/hyperlink" Target="https://maps.app.goo.gl/ZgYr7gZUWwWBfsNb6?g_st=ic" TargetMode="External"/><Relationship Id="rId51" Type="http://schemas.openxmlformats.org/officeDocument/2006/relationships/hyperlink" Target="https://maps.app.goo.gl/qVPDTGyYWwahjkAp7?g_st=ac" TargetMode="External"/><Relationship Id="rId72" Type="http://schemas.openxmlformats.org/officeDocument/2006/relationships/hyperlink" Target="https://maps.app.goo.gl/We16jmS8NyUGf58B9?g_st=ac" TargetMode="External"/><Relationship Id="rId93" Type="http://schemas.openxmlformats.org/officeDocument/2006/relationships/hyperlink" Target="https://oxxo-colombia.oneapp.cl/static/img/Respuesta/63393109/ef98d3e838bb69e0a3158b1069057235.jpg" TargetMode="External"/><Relationship Id="rId98" Type="http://schemas.openxmlformats.org/officeDocument/2006/relationships/hyperlink" Target="https://oxxo-colombia.oneapp.cl/static/img/Respuesta/63400250/fe4023da6d233af07cc9ae77e06bbf53.jpg" TargetMode="External"/><Relationship Id="rId121" Type="http://schemas.openxmlformats.org/officeDocument/2006/relationships/hyperlink" Target="https://maps.app.goo.gl/kAT7PsDEWgBy4ckM7?g_st=aw" TargetMode="External"/><Relationship Id="rId3" Type="http://schemas.openxmlformats.org/officeDocument/2006/relationships/hyperlink" Target="https://maps.app.goo.gl/cyi7f3fML7fKbAXTA" TargetMode="External"/><Relationship Id="rId25" Type="http://schemas.openxmlformats.org/officeDocument/2006/relationships/hyperlink" Target="https://maps.app.goo.gl/UgKek3eZnzV3KFSy6" TargetMode="External"/><Relationship Id="rId46" Type="http://schemas.openxmlformats.org/officeDocument/2006/relationships/hyperlink" Target="https://maps.app.goo.gl/PE1f4S4YcVUUo6e98?g_st=ac" TargetMode="External"/><Relationship Id="rId67" Type="http://schemas.openxmlformats.org/officeDocument/2006/relationships/hyperlink" Target="https://oxxo-colombia.oneapp.cl/static/img/Respuesta/63235847/6b506c7cab4e01f44d9398d3f2f8e012.jpg" TargetMode="External"/><Relationship Id="rId116" Type="http://schemas.openxmlformats.org/officeDocument/2006/relationships/hyperlink" Target="https://maps.app.goo.gl/BqY1MVoo2UJSq6Sj9" TargetMode="External"/><Relationship Id="rId20" Type="http://schemas.openxmlformats.org/officeDocument/2006/relationships/hyperlink" Target="https://maps.app.goo.gl/Zs8Bp3Xwscm3Lyq39" TargetMode="External"/><Relationship Id="rId41" Type="http://schemas.openxmlformats.org/officeDocument/2006/relationships/hyperlink" Target="https://maps.app.goo.gl/BeTGCR24bq6FqSRe8?g_st=ac" TargetMode="External"/><Relationship Id="rId62" Type="http://schemas.openxmlformats.org/officeDocument/2006/relationships/hyperlink" Target="https://oxxo-colombia.oneapp.cl/static/img/Respuesta/63234643/fc05e86c5b9aa2c4db94266f19506d37.jpg" TargetMode="External"/><Relationship Id="rId83" Type="http://schemas.openxmlformats.org/officeDocument/2006/relationships/hyperlink" Target="https://oxxo-colombia.oneapp.cl/static/img/Respuesta/63294087/8e132cc7d7522521b5f96d14bd4e2184.jpg" TargetMode="External"/><Relationship Id="rId88" Type="http://schemas.openxmlformats.org/officeDocument/2006/relationships/hyperlink" Target="https://oxxo-colombia.oneapp.cl/static/img/Respuesta/63380340/dd79b6fe5bba15fc123c186fe236a1da.jpg" TargetMode="External"/><Relationship Id="rId111" Type="http://schemas.openxmlformats.org/officeDocument/2006/relationships/hyperlink" Target="https://maps.app.goo.gl/pzvqEkXRQ1FXBKRe7" TargetMode="External"/><Relationship Id="rId15" Type="http://schemas.openxmlformats.org/officeDocument/2006/relationships/hyperlink" Target="https://maps.app.goo.gl/9rC2X5676JGMq3sp8?g_st=iw" TargetMode="External"/><Relationship Id="rId36" Type="http://schemas.openxmlformats.org/officeDocument/2006/relationships/hyperlink" Target="https://maps.app.goo.gl/hh9DqoKdf3dEj9zaA?g_st=ac" TargetMode="External"/><Relationship Id="rId57" Type="http://schemas.openxmlformats.org/officeDocument/2006/relationships/hyperlink" Target="https://oxxo-colombia.oneapp.cl/static/img/Respuesta/62678392/15e782c8af7c8926b7b1e25733587063.jpg" TargetMode="External"/><Relationship Id="rId106" Type="http://schemas.openxmlformats.org/officeDocument/2006/relationships/hyperlink" Target="https://oxxo-colombia.oneapp.cl/static/img/Respuesta/63472069/f53bdcedd8d975c27547092f9995220b.jpg" TargetMode="External"/><Relationship Id="rId127" Type="http://schemas.openxmlformats.org/officeDocument/2006/relationships/hyperlink" Target="https://maps.app.goo.gl/nhxsEgVNz5Babgvk8?g_st=ac" TargetMode="External"/><Relationship Id="rId10" Type="http://schemas.openxmlformats.org/officeDocument/2006/relationships/hyperlink" Target="https://maps.app.goo.gl/2TZH47f4N86NTjSb6?g_st=ic" TargetMode="External"/><Relationship Id="rId31" Type="http://schemas.openxmlformats.org/officeDocument/2006/relationships/hyperlink" Target="https://maps.app.goo.gl/M7GS1t882L9X2s5X7?g_st=ac" TargetMode="External"/><Relationship Id="rId52" Type="http://schemas.openxmlformats.org/officeDocument/2006/relationships/hyperlink" Target="https://maps.app.goo.gl/dmeiK9Y56iBqfb7k6?g_st=ac" TargetMode="External"/><Relationship Id="rId73" Type="http://schemas.openxmlformats.org/officeDocument/2006/relationships/hyperlink" Target="https://oxxo-colombia.oneapp.cl/static/img/Respuesta/63236023/ac75ede8715a9f362f4a8edbdac1b1ba.jpg" TargetMode="External"/><Relationship Id="rId78" Type="http://schemas.openxmlformats.org/officeDocument/2006/relationships/hyperlink" Target="https://oxxo-colombia.oneapp.cl/static/img/Respuesta/63290615/fe38ff36a53c7b1ce4c348c31beafeea.jpg" TargetMode="External"/><Relationship Id="rId94" Type="http://schemas.openxmlformats.org/officeDocument/2006/relationships/hyperlink" Target="https://oxxo-colombia.oneapp.cl/static/img/Respuesta/63393355/30fd5d94d97855af9d13c23b09032a59.jpg" TargetMode="External"/><Relationship Id="rId99" Type="http://schemas.openxmlformats.org/officeDocument/2006/relationships/hyperlink" Target="https://oxxo-colombia.oneapp.cl/static/img/Respuesta/63401994/a2d2c202bcad290c05f7064100e1b996.jpg" TargetMode="External"/><Relationship Id="rId101" Type="http://schemas.openxmlformats.org/officeDocument/2006/relationships/hyperlink" Target="https://maps.app.goo.gl/xWHbEcBVLLShy7rY8" TargetMode="External"/><Relationship Id="rId122" Type="http://schemas.openxmlformats.org/officeDocument/2006/relationships/hyperlink" Target="https://oxxo-colombia.oneapp.cl/static/img/Respuesta/63529823/f58ab9834d6b9f66c1f7467cadc39438.jpg" TargetMode="External"/><Relationship Id="rId4" Type="http://schemas.openxmlformats.org/officeDocument/2006/relationships/hyperlink" Target="https://maps.app.goo.gl/QBWShgaJxsi6X6WG7" TargetMode="External"/><Relationship Id="rId9" Type="http://schemas.openxmlformats.org/officeDocument/2006/relationships/hyperlink" Target="https://maps.app.goo.gl/roHspvGqX4kLWBoAA?g_st=ic" TargetMode="External"/><Relationship Id="rId26" Type="http://schemas.openxmlformats.org/officeDocument/2006/relationships/hyperlink" Target="https://maps.app.goo.gl/4XVD4C94joAnoLQU8?g_st=aw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oxxo-colombia.oneapp.cl/static/img/Respuesta/61169766/f54fac2058f1766ffdba08335c6507cb.jpg" TargetMode="External"/><Relationship Id="rId2" Type="http://schemas.openxmlformats.org/officeDocument/2006/relationships/hyperlink" Target="https://oxxo-colombia.oneapp.cl/static/img/Respuesta/61169370/24c75b247668933e2e747b48308fcb1e.jpg" TargetMode="External"/><Relationship Id="rId1" Type="http://schemas.openxmlformats.org/officeDocument/2006/relationships/hyperlink" Target="https://oxxo-colombia.oneapp.cl/static/img/Respuesta/61167871/5160fe0041f643f0e720405bccddf42c.jpg" TargetMode="External"/><Relationship Id="rId4" Type="http://schemas.openxmlformats.org/officeDocument/2006/relationships/hyperlink" Target="https://oxxo-colombia.oneapp.cl/static/img/Respuesta/61174941/ce28ceab02b85d03b664deed5b0055e3.jp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9F202-4214-4BA7-8AEF-C4DBB6400BB1}">
  <sheetPr codeName="Hoja1"/>
  <dimension ref="A1:AL114"/>
  <sheetViews>
    <sheetView showGridLines="0" tabSelected="1" zoomScale="61" zoomScaleNormal="61" workbookViewId="0">
      <pane xSplit="11" ySplit="1" topLeftCell="V100" activePane="bottomRight" state="frozen"/>
      <selection pane="bottomRight" activeCell="V102" sqref="V102"/>
      <selection pane="bottomLeft" activeCell="A2" sqref="A2"/>
      <selection pane="topRight" activeCell="L1" sqref="L1"/>
    </sheetView>
  </sheetViews>
  <sheetFormatPr defaultColWidth="11.42578125" defaultRowHeight="14.45"/>
  <cols>
    <col min="1" max="1" width="8.5703125" bestFit="1" customWidth="1"/>
    <col min="2" max="2" width="30.85546875" customWidth="1"/>
    <col min="3" max="3" width="16.42578125" bestFit="1" customWidth="1"/>
    <col min="4" max="4" width="13.5703125" bestFit="1" customWidth="1"/>
    <col min="5" max="5" width="10.85546875" bestFit="1" customWidth="1"/>
    <col min="6" max="6" width="5.85546875" bestFit="1" customWidth="1"/>
    <col min="7" max="8" width="5.28515625" bestFit="1" customWidth="1"/>
    <col min="9" max="9" width="7.5703125" bestFit="1" customWidth="1"/>
    <col min="10" max="10" width="41.28515625" customWidth="1"/>
    <col min="11" max="11" width="18.28515625" customWidth="1"/>
    <col min="12" max="12" width="9.85546875" bestFit="1" customWidth="1"/>
    <col min="13" max="13" width="11.85546875" bestFit="1" customWidth="1"/>
    <col min="14" max="14" width="48" bestFit="1" customWidth="1"/>
    <col min="15" max="15" width="48" customWidth="1"/>
    <col min="16" max="16" width="50.5703125" customWidth="1"/>
    <col min="17" max="17" width="21.85546875" bestFit="1" customWidth="1"/>
    <col min="18" max="18" width="13.7109375" bestFit="1" customWidth="1"/>
    <col min="19" max="19" width="17.5703125" bestFit="1" customWidth="1"/>
    <col min="20" max="20" width="58.28515625" bestFit="1" customWidth="1"/>
    <col min="21" max="21" width="38.140625" bestFit="1" customWidth="1"/>
    <col min="22" max="22" width="99.85546875" bestFit="1" customWidth="1"/>
    <col min="23" max="23" width="13.5703125" bestFit="1" customWidth="1"/>
    <col min="24" max="24" width="9.7109375" bestFit="1" customWidth="1"/>
    <col min="25" max="25" width="17.5703125" bestFit="1" customWidth="1"/>
    <col min="26" max="26" width="23.85546875" bestFit="1" customWidth="1"/>
    <col min="27" max="27" width="18.42578125" customWidth="1"/>
    <col min="28" max="28" width="14.42578125" bestFit="1" customWidth="1"/>
    <col min="29" max="29" width="24.140625" customWidth="1"/>
    <col min="30" max="30" width="52.28515625" bestFit="1" customWidth="1"/>
    <col min="35" max="35" width="17.85546875" bestFit="1" customWidth="1"/>
    <col min="38" max="38" width="26.5703125" customWidth="1"/>
  </cols>
  <sheetData>
    <row r="1" spans="1:38" ht="45.75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20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2" t="s">
        <v>22</v>
      </c>
      <c r="X1" s="2" t="s">
        <v>7</v>
      </c>
      <c r="Y1" s="2" t="s">
        <v>6</v>
      </c>
      <c r="Z1" s="2" t="s">
        <v>23</v>
      </c>
      <c r="AA1" s="2" t="s">
        <v>24</v>
      </c>
      <c r="AB1" s="2" t="s">
        <v>25</v>
      </c>
      <c r="AC1" s="2" t="s">
        <v>26</v>
      </c>
      <c r="AD1" s="2" t="s">
        <v>27</v>
      </c>
      <c r="AE1" s="2" t="s">
        <v>28</v>
      </c>
      <c r="AF1" s="2" t="s">
        <v>22</v>
      </c>
      <c r="AG1" s="2" t="s">
        <v>29</v>
      </c>
      <c r="AH1" s="2" t="s">
        <v>30</v>
      </c>
      <c r="AI1" s="2" t="s">
        <v>31</v>
      </c>
      <c r="AJ1" s="2" t="s">
        <v>32</v>
      </c>
      <c r="AK1" s="2" t="s">
        <v>33</v>
      </c>
      <c r="AL1" s="2" t="s">
        <v>34</v>
      </c>
    </row>
    <row r="2" spans="1:38" ht="32.1" customHeight="1">
      <c r="A2" s="16">
        <v>3649249</v>
      </c>
      <c r="B2" s="16" t="s">
        <v>35</v>
      </c>
      <c r="C2" s="16" t="s">
        <v>36</v>
      </c>
      <c r="D2" s="16" t="s">
        <v>37</v>
      </c>
      <c r="E2" s="16" t="s">
        <v>37</v>
      </c>
      <c r="F2" s="16" t="s">
        <v>38</v>
      </c>
      <c r="G2" s="16">
        <v>2026</v>
      </c>
      <c r="H2" s="16" t="s">
        <v>39</v>
      </c>
      <c r="I2" s="16" t="s">
        <v>40</v>
      </c>
      <c r="J2" s="16" t="s">
        <v>41</v>
      </c>
      <c r="K2" s="16"/>
      <c r="L2" s="16" t="s">
        <v>42</v>
      </c>
      <c r="M2" s="16" t="s">
        <v>43</v>
      </c>
      <c r="N2" s="16" t="s">
        <v>44</v>
      </c>
      <c r="O2" s="16"/>
      <c r="P2" s="16" t="s">
        <v>45</v>
      </c>
      <c r="Q2" s="16" t="s">
        <v>46</v>
      </c>
      <c r="R2" s="16" t="s">
        <v>47</v>
      </c>
      <c r="S2" s="16" t="s">
        <v>48</v>
      </c>
      <c r="T2" s="16" t="s">
        <v>49</v>
      </c>
      <c r="U2" s="16">
        <v>3007751069</v>
      </c>
      <c r="V2" s="16" t="s">
        <v>50</v>
      </c>
      <c r="W2">
        <f t="shared" ref="W2:W31" si="0">WEEKNUM(E2)</f>
        <v>29</v>
      </c>
      <c r="X2">
        <f t="shared" ref="X2:X31" si="1">MONTH(E2)</f>
        <v>7</v>
      </c>
      <c r="Y2">
        <f t="shared" ref="Y2:Y31" si="2">YEAR(E2)</f>
        <v>2026</v>
      </c>
      <c r="Z2" t="str">
        <f t="shared" ref="Z2:Z31" si="3">_xlfn.CONCAT(W2,"-",Y2)</f>
        <v>29-2026</v>
      </c>
      <c r="AA2" t="s">
        <v>51</v>
      </c>
      <c r="AB2">
        <v>7.0706374277242299</v>
      </c>
      <c r="AC2">
        <v>-73.105528329117803</v>
      </c>
      <c r="AD2" t="s">
        <v>52</v>
      </c>
      <c r="AE2" t="s">
        <v>53</v>
      </c>
      <c r="AF2">
        <v>1</v>
      </c>
    </row>
    <row r="3" spans="1:38" ht="32.1" customHeight="1">
      <c r="A3" s="16">
        <v>3649288</v>
      </c>
      <c r="B3" s="16" t="s">
        <v>54</v>
      </c>
      <c r="C3" s="16" t="s">
        <v>55</v>
      </c>
      <c r="D3" s="16" t="s">
        <v>37</v>
      </c>
      <c r="E3" s="16" t="s">
        <v>37</v>
      </c>
      <c r="F3" s="16" t="s">
        <v>56</v>
      </c>
      <c r="G3" s="16">
        <v>2026</v>
      </c>
      <c r="H3" s="16" t="s">
        <v>39</v>
      </c>
      <c r="I3" s="16" t="s">
        <v>40</v>
      </c>
      <c r="J3" s="16" t="s">
        <v>57</v>
      </c>
      <c r="K3" s="16"/>
      <c r="L3" s="16" t="s">
        <v>58</v>
      </c>
      <c r="M3" s="16" t="s">
        <v>59</v>
      </c>
      <c r="N3" s="16" t="s">
        <v>60</v>
      </c>
      <c r="O3" s="16"/>
      <c r="P3" s="19" t="s">
        <v>61</v>
      </c>
      <c r="Q3" s="16" t="s">
        <v>46</v>
      </c>
      <c r="R3" s="16" t="s">
        <v>47</v>
      </c>
      <c r="S3" s="16" t="s">
        <v>48</v>
      </c>
      <c r="T3" s="16">
        <v>3103340792</v>
      </c>
      <c r="U3" s="16" t="s">
        <v>62</v>
      </c>
      <c r="V3" s="16" t="s">
        <v>63</v>
      </c>
      <c r="W3">
        <f t="shared" si="0"/>
        <v>29</v>
      </c>
      <c r="X3">
        <f t="shared" si="1"/>
        <v>7</v>
      </c>
      <c r="Y3">
        <f t="shared" si="2"/>
        <v>2026</v>
      </c>
      <c r="Z3" t="str">
        <f t="shared" si="3"/>
        <v>29-2026</v>
      </c>
      <c r="AA3" t="s">
        <v>51</v>
      </c>
      <c r="AB3">
        <v>4.7402539522694704</v>
      </c>
      <c r="AC3">
        <v>-74.047801728288505</v>
      </c>
      <c r="AE3" t="s">
        <v>53</v>
      </c>
      <c r="AF3">
        <v>1</v>
      </c>
    </row>
    <row r="4" spans="1:38" ht="32.1" customHeight="1">
      <c r="A4" s="16">
        <v>3649297</v>
      </c>
      <c r="B4" s="16" t="s">
        <v>54</v>
      </c>
      <c r="C4" s="16" t="s">
        <v>55</v>
      </c>
      <c r="D4" s="16" t="s">
        <v>37</v>
      </c>
      <c r="E4" s="16" t="s">
        <v>37</v>
      </c>
      <c r="F4" s="16" t="s">
        <v>64</v>
      </c>
      <c r="G4" s="16">
        <v>2026</v>
      </c>
      <c r="H4" s="16" t="s">
        <v>39</v>
      </c>
      <c r="I4" s="16" t="s">
        <v>40</v>
      </c>
      <c r="J4" s="16" t="s">
        <v>65</v>
      </c>
      <c r="K4" s="16"/>
      <c r="L4" s="16" t="s">
        <v>58</v>
      </c>
      <c r="M4" s="16" t="s">
        <v>59</v>
      </c>
      <c r="N4" s="16" t="s">
        <v>66</v>
      </c>
      <c r="O4" s="16"/>
      <c r="P4" s="19" t="s">
        <v>67</v>
      </c>
      <c r="Q4" s="16" t="s">
        <v>46</v>
      </c>
      <c r="R4" s="16" t="s">
        <v>47</v>
      </c>
      <c r="S4" s="16" t="s">
        <v>48</v>
      </c>
      <c r="T4" s="16">
        <v>3004550101</v>
      </c>
      <c r="U4" s="16" t="s">
        <v>68</v>
      </c>
      <c r="V4" s="16" t="s">
        <v>69</v>
      </c>
      <c r="W4">
        <f t="shared" si="0"/>
        <v>29</v>
      </c>
      <c r="X4">
        <f t="shared" si="1"/>
        <v>7</v>
      </c>
      <c r="Y4">
        <f t="shared" si="2"/>
        <v>2026</v>
      </c>
      <c r="Z4" t="str">
        <f t="shared" si="3"/>
        <v>29-2026</v>
      </c>
      <c r="AA4" t="s">
        <v>51</v>
      </c>
      <c r="AB4">
        <v>4.7487732422165099</v>
      </c>
      <c r="AC4">
        <v>-74.0441775661929</v>
      </c>
      <c r="AE4" t="s">
        <v>70</v>
      </c>
      <c r="AF4">
        <v>1</v>
      </c>
      <c r="AH4" t="s">
        <v>71</v>
      </c>
      <c r="AI4" t="s">
        <v>72</v>
      </c>
      <c r="AJ4" s="26">
        <v>46231</v>
      </c>
    </row>
    <row r="5" spans="1:38" ht="32.1" customHeight="1">
      <c r="A5" s="16">
        <v>3649449</v>
      </c>
      <c r="B5" s="16" t="s">
        <v>73</v>
      </c>
      <c r="C5" s="16" t="s">
        <v>74</v>
      </c>
      <c r="D5" s="16" t="s">
        <v>37</v>
      </c>
      <c r="E5" s="16" t="s">
        <v>37</v>
      </c>
      <c r="F5" s="16" t="s">
        <v>75</v>
      </c>
      <c r="G5" s="16">
        <v>2026</v>
      </c>
      <c r="H5" s="16" t="s">
        <v>39</v>
      </c>
      <c r="I5" s="16" t="s">
        <v>40</v>
      </c>
      <c r="J5" s="16" t="s">
        <v>76</v>
      </c>
      <c r="K5" s="16"/>
      <c r="L5" s="16" t="s">
        <v>77</v>
      </c>
      <c r="M5" s="16" t="s">
        <v>78</v>
      </c>
      <c r="N5" s="16" t="s">
        <v>79</v>
      </c>
      <c r="O5" s="16"/>
      <c r="P5" s="19" t="s">
        <v>80</v>
      </c>
      <c r="Q5" s="16" t="s">
        <v>81</v>
      </c>
      <c r="R5" s="16" t="s">
        <v>47</v>
      </c>
      <c r="S5" s="16" t="s">
        <v>48</v>
      </c>
      <c r="T5" s="16" t="s">
        <v>82</v>
      </c>
      <c r="U5" s="16" t="s">
        <v>83</v>
      </c>
      <c r="V5" s="16" t="s">
        <v>84</v>
      </c>
      <c r="W5">
        <f t="shared" si="0"/>
        <v>29</v>
      </c>
      <c r="X5">
        <f t="shared" si="1"/>
        <v>7</v>
      </c>
      <c r="Y5">
        <f t="shared" si="2"/>
        <v>2026</v>
      </c>
      <c r="Z5" t="str">
        <f t="shared" si="3"/>
        <v>29-2026</v>
      </c>
      <c r="AA5" t="s">
        <v>51</v>
      </c>
      <c r="AB5">
        <v>4.8148684273055098</v>
      </c>
      <c r="AC5">
        <v>-75.694004374277299</v>
      </c>
      <c r="AE5" t="s">
        <v>70</v>
      </c>
      <c r="AF5">
        <v>1</v>
      </c>
      <c r="AH5" t="s">
        <v>71</v>
      </c>
    </row>
    <row r="6" spans="1:38" ht="32.1" customHeight="1">
      <c r="A6" s="16">
        <v>3649582</v>
      </c>
      <c r="B6" s="16" t="s">
        <v>73</v>
      </c>
      <c r="C6" s="16" t="s">
        <v>74</v>
      </c>
      <c r="D6" s="16" t="s">
        <v>37</v>
      </c>
      <c r="E6" s="16" t="s">
        <v>37</v>
      </c>
      <c r="F6" s="16" t="s">
        <v>85</v>
      </c>
      <c r="G6" s="16">
        <v>2026</v>
      </c>
      <c r="H6" s="16" t="s">
        <v>39</v>
      </c>
      <c r="I6" s="16" t="s">
        <v>40</v>
      </c>
      <c r="J6" s="16" t="s">
        <v>86</v>
      </c>
      <c r="K6" s="16"/>
      <c r="L6" s="16" t="s">
        <v>77</v>
      </c>
      <c r="M6" s="16" t="s">
        <v>78</v>
      </c>
      <c r="N6" s="16" t="s">
        <v>87</v>
      </c>
      <c r="O6" s="16"/>
      <c r="P6" s="19" t="s">
        <v>88</v>
      </c>
      <c r="Q6" s="16" t="s">
        <v>46</v>
      </c>
      <c r="R6" s="16" t="s">
        <v>89</v>
      </c>
      <c r="S6" s="16" t="s">
        <v>90</v>
      </c>
      <c r="T6" s="16" t="s">
        <v>91</v>
      </c>
      <c r="U6" s="19" t="s">
        <v>92</v>
      </c>
      <c r="V6" s="16" t="s">
        <v>93</v>
      </c>
      <c r="W6">
        <f t="shared" si="0"/>
        <v>29</v>
      </c>
      <c r="X6">
        <f t="shared" si="1"/>
        <v>7</v>
      </c>
      <c r="Y6">
        <f t="shared" si="2"/>
        <v>2026</v>
      </c>
      <c r="Z6" t="str">
        <f t="shared" si="3"/>
        <v>29-2026</v>
      </c>
      <c r="AA6" t="s">
        <v>51</v>
      </c>
      <c r="AB6">
        <v>4.8134006544967303</v>
      </c>
      <c r="AC6">
        <v>-75.699304830684</v>
      </c>
      <c r="AE6" t="s">
        <v>70</v>
      </c>
      <c r="AF6">
        <v>1</v>
      </c>
      <c r="AH6" t="s">
        <v>94</v>
      </c>
    </row>
    <row r="7" spans="1:38" ht="32.1" customHeight="1">
      <c r="A7" s="16">
        <v>3649592</v>
      </c>
      <c r="B7" s="16" t="s">
        <v>95</v>
      </c>
      <c r="C7" s="16" t="s">
        <v>96</v>
      </c>
      <c r="D7" s="16" t="s">
        <v>37</v>
      </c>
      <c r="E7" s="16" t="s">
        <v>37</v>
      </c>
      <c r="F7" s="16" t="s">
        <v>97</v>
      </c>
      <c r="G7" s="16">
        <v>2026</v>
      </c>
      <c r="H7" s="16" t="s">
        <v>39</v>
      </c>
      <c r="I7" s="16" t="s">
        <v>40</v>
      </c>
      <c r="J7" s="16" t="s">
        <v>98</v>
      </c>
      <c r="K7" s="16"/>
      <c r="L7" s="16" t="s">
        <v>77</v>
      </c>
      <c r="M7" s="16" t="s">
        <v>78</v>
      </c>
      <c r="N7" s="16" t="s">
        <v>99</v>
      </c>
      <c r="O7" s="16"/>
      <c r="P7" s="19" t="s">
        <v>100</v>
      </c>
      <c r="Q7" s="16" t="s">
        <v>46</v>
      </c>
      <c r="R7" s="16" t="s">
        <v>47</v>
      </c>
      <c r="S7" s="16" t="s">
        <v>48</v>
      </c>
      <c r="T7" s="16">
        <v>3009121600</v>
      </c>
      <c r="U7" s="16" t="s">
        <v>101</v>
      </c>
      <c r="V7" s="16" t="s">
        <v>102</v>
      </c>
      <c r="W7">
        <f t="shared" si="0"/>
        <v>29</v>
      </c>
      <c r="X7">
        <f t="shared" si="1"/>
        <v>7</v>
      </c>
      <c r="Y7">
        <f t="shared" si="2"/>
        <v>2026</v>
      </c>
      <c r="Z7" t="str">
        <f t="shared" si="3"/>
        <v>29-2026</v>
      </c>
      <c r="AA7" t="s">
        <v>51</v>
      </c>
      <c r="AB7">
        <v>4.8082106455401501</v>
      </c>
      <c r="AC7">
        <v>-75.688230399999597</v>
      </c>
      <c r="AE7" t="s">
        <v>70</v>
      </c>
      <c r="AF7">
        <v>1</v>
      </c>
      <c r="AH7" t="s">
        <v>94</v>
      </c>
    </row>
    <row r="8" spans="1:38" ht="32.1" customHeight="1">
      <c r="A8" s="16">
        <v>3649609</v>
      </c>
      <c r="B8" s="16" t="s">
        <v>103</v>
      </c>
      <c r="C8" s="16" t="s">
        <v>104</v>
      </c>
      <c r="D8" s="16" t="s">
        <v>37</v>
      </c>
      <c r="E8" s="16" t="s">
        <v>37</v>
      </c>
      <c r="F8" s="16" t="s">
        <v>105</v>
      </c>
      <c r="G8" s="16">
        <v>2026</v>
      </c>
      <c r="H8" s="16" t="s">
        <v>39</v>
      </c>
      <c r="I8" s="16" t="s">
        <v>40</v>
      </c>
      <c r="J8" s="16" t="s">
        <v>106</v>
      </c>
      <c r="K8" s="16"/>
      <c r="L8" s="16" t="s">
        <v>58</v>
      </c>
      <c r="M8" s="16" t="s">
        <v>107</v>
      </c>
      <c r="N8" s="16" t="s">
        <v>108</v>
      </c>
      <c r="O8" s="16"/>
      <c r="P8" s="19" t="s">
        <v>109</v>
      </c>
      <c r="Q8" s="16" t="s">
        <v>81</v>
      </c>
      <c r="R8" s="16" t="s">
        <v>47</v>
      </c>
      <c r="S8" s="16" t="s">
        <v>110</v>
      </c>
      <c r="T8" s="16">
        <v>3104257782</v>
      </c>
      <c r="U8" s="16" t="s">
        <v>111</v>
      </c>
      <c r="V8" s="16" t="s">
        <v>112</v>
      </c>
      <c r="W8">
        <f t="shared" si="0"/>
        <v>29</v>
      </c>
      <c r="X8">
        <f t="shared" si="1"/>
        <v>7</v>
      </c>
      <c r="Y8">
        <f t="shared" si="2"/>
        <v>2026</v>
      </c>
      <c r="Z8" t="str">
        <f t="shared" si="3"/>
        <v>29-2026</v>
      </c>
      <c r="AA8" t="s">
        <v>51</v>
      </c>
      <c r="AB8">
        <v>5.0009072881179204</v>
      </c>
      <c r="AC8">
        <v>-73.999167262091305</v>
      </c>
      <c r="AE8" t="s">
        <v>113</v>
      </c>
      <c r="AF8">
        <v>1</v>
      </c>
      <c r="AH8" t="s">
        <v>71</v>
      </c>
    </row>
    <row r="9" spans="1:38" ht="32.1" customHeight="1">
      <c r="A9" s="16">
        <v>3652749</v>
      </c>
      <c r="B9" s="16" t="s">
        <v>114</v>
      </c>
      <c r="C9" s="16" t="s">
        <v>115</v>
      </c>
      <c r="D9" s="16" t="s">
        <v>116</v>
      </c>
      <c r="E9" s="16" t="s">
        <v>116</v>
      </c>
      <c r="F9" s="16" t="s">
        <v>117</v>
      </c>
      <c r="G9" s="16">
        <v>2026</v>
      </c>
      <c r="H9" s="16" t="s">
        <v>39</v>
      </c>
      <c r="I9" s="16" t="s">
        <v>40</v>
      </c>
      <c r="J9" s="16" t="s">
        <v>118</v>
      </c>
      <c r="K9" s="16" t="s">
        <v>119</v>
      </c>
      <c r="L9" s="16" t="s">
        <v>58</v>
      </c>
      <c r="M9" s="16" t="s">
        <v>59</v>
      </c>
      <c r="N9" s="16" t="s">
        <v>120</v>
      </c>
      <c r="O9" s="16"/>
      <c r="P9" s="19" t="s">
        <v>121</v>
      </c>
      <c r="Q9" s="16" t="s">
        <v>81</v>
      </c>
      <c r="R9" s="16" t="s">
        <v>47</v>
      </c>
      <c r="S9" s="16" t="s">
        <v>48</v>
      </c>
      <c r="T9" s="16">
        <v>3112914286</v>
      </c>
      <c r="U9" s="16" t="s">
        <v>122</v>
      </c>
      <c r="V9" s="16" t="s">
        <v>123</v>
      </c>
      <c r="W9">
        <f t="shared" si="0"/>
        <v>29</v>
      </c>
      <c r="X9">
        <f t="shared" si="1"/>
        <v>7</v>
      </c>
      <c r="Y9">
        <f t="shared" si="2"/>
        <v>2026</v>
      </c>
      <c r="Z9" t="str">
        <f t="shared" si="3"/>
        <v>29-2026</v>
      </c>
      <c r="AA9" t="s">
        <v>51</v>
      </c>
      <c r="AB9">
        <v>4.63943295015559</v>
      </c>
      <c r="AC9">
        <v>-74.065112728285797</v>
      </c>
      <c r="AE9" t="s">
        <v>70</v>
      </c>
      <c r="AF9">
        <v>1</v>
      </c>
      <c r="AH9" t="s">
        <v>71</v>
      </c>
      <c r="AI9" t="s">
        <v>124</v>
      </c>
      <c r="AJ9" s="26">
        <v>46231</v>
      </c>
      <c r="AL9" s="32" t="s">
        <v>125</v>
      </c>
    </row>
    <row r="10" spans="1:38" ht="32.1" customHeight="1">
      <c r="A10" s="16">
        <v>3652752</v>
      </c>
      <c r="B10" s="16" t="s">
        <v>114</v>
      </c>
      <c r="C10" s="16" t="s">
        <v>115</v>
      </c>
      <c r="D10" s="16" t="s">
        <v>116</v>
      </c>
      <c r="E10" s="16" t="s">
        <v>116</v>
      </c>
      <c r="F10" s="16" t="s">
        <v>126</v>
      </c>
      <c r="G10" s="16">
        <v>2026</v>
      </c>
      <c r="H10" s="16" t="s">
        <v>39</v>
      </c>
      <c r="I10" s="16" t="s">
        <v>40</v>
      </c>
      <c r="J10" s="16" t="s">
        <v>127</v>
      </c>
      <c r="K10" s="16" t="s">
        <v>128</v>
      </c>
      <c r="L10" s="16" t="s">
        <v>58</v>
      </c>
      <c r="M10" s="16" t="s">
        <v>59</v>
      </c>
      <c r="N10" s="16" t="s">
        <v>129</v>
      </c>
      <c r="O10" s="16"/>
      <c r="P10" s="19" t="s">
        <v>130</v>
      </c>
      <c r="Q10" s="16" t="s">
        <v>81</v>
      </c>
      <c r="R10" s="16" t="s">
        <v>89</v>
      </c>
      <c r="S10" s="16" t="s">
        <v>48</v>
      </c>
      <c r="T10" s="16">
        <v>3112034494</v>
      </c>
      <c r="U10" s="16" t="s">
        <v>122</v>
      </c>
      <c r="V10" s="16" t="s">
        <v>131</v>
      </c>
      <c r="W10">
        <f t="shared" si="0"/>
        <v>29</v>
      </c>
      <c r="X10">
        <f t="shared" si="1"/>
        <v>7</v>
      </c>
      <c r="Y10">
        <f t="shared" si="2"/>
        <v>2026</v>
      </c>
      <c r="Z10" t="str">
        <f t="shared" si="3"/>
        <v>29-2026</v>
      </c>
      <c r="AA10" t="s">
        <v>51</v>
      </c>
      <c r="AB10">
        <v>4.7013211899417797</v>
      </c>
      <c r="AC10">
        <v>-74.047880000000305</v>
      </c>
      <c r="AE10" t="s">
        <v>53</v>
      </c>
      <c r="AF10">
        <v>1</v>
      </c>
    </row>
    <row r="11" spans="1:38" ht="32.1" customHeight="1">
      <c r="A11" s="16">
        <v>3652756</v>
      </c>
      <c r="B11" s="16" t="s">
        <v>114</v>
      </c>
      <c r="C11" s="16" t="s">
        <v>115</v>
      </c>
      <c r="D11" s="16" t="s">
        <v>116</v>
      </c>
      <c r="E11" s="16" t="s">
        <v>116</v>
      </c>
      <c r="F11" s="16" t="s">
        <v>132</v>
      </c>
      <c r="G11" s="16">
        <v>2026</v>
      </c>
      <c r="H11" s="16" t="s">
        <v>39</v>
      </c>
      <c r="I11" s="16" t="s">
        <v>40</v>
      </c>
      <c r="J11" s="16" t="s">
        <v>133</v>
      </c>
      <c r="K11" s="16" t="s">
        <v>134</v>
      </c>
      <c r="L11" s="16" t="s">
        <v>58</v>
      </c>
      <c r="M11" s="16" t="s">
        <v>59</v>
      </c>
      <c r="N11" s="16" t="s">
        <v>135</v>
      </c>
      <c r="O11" s="16"/>
      <c r="P11" s="19" t="s">
        <v>136</v>
      </c>
      <c r="Q11" s="16" t="s">
        <v>81</v>
      </c>
      <c r="R11" s="16" t="s">
        <v>89</v>
      </c>
      <c r="S11" s="16" t="s">
        <v>48</v>
      </c>
      <c r="T11" s="16">
        <v>3114910947</v>
      </c>
      <c r="U11" s="16" t="s">
        <v>137</v>
      </c>
      <c r="V11" s="16" t="s">
        <v>138</v>
      </c>
      <c r="W11">
        <f t="shared" si="0"/>
        <v>29</v>
      </c>
      <c r="X11">
        <f t="shared" si="1"/>
        <v>7</v>
      </c>
      <c r="Y11">
        <f t="shared" si="2"/>
        <v>2026</v>
      </c>
      <c r="Z11" t="str">
        <f t="shared" si="3"/>
        <v>29-2026</v>
      </c>
      <c r="AA11" t="s">
        <v>51</v>
      </c>
      <c r="AB11">
        <v>4.6983514463927198</v>
      </c>
      <c r="AC11">
        <v>-74.043404099997403</v>
      </c>
      <c r="AE11" t="s">
        <v>53</v>
      </c>
      <c r="AF11">
        <v>1</v>
      </c>
    </row>
    <row r="12" spans="1:38" ht="32.1" customHeight="1">
      <c r="A12" s="16">
        <v>3652790</v>
      </c>
      <c r="B12" s="16" t="s">
        <v>139</v>
      </c>
      <c r="C12" s="16" t="s">
        <v>140</v>
      </c>
      <c r="D12" s="16" t="s">
        <v>116</v>
      </c>
      <c r="E12" s="16" t="s">
        <v>116</v>
      </c>
      <c r="F12" s="16" t="s">
        <v>141</v>
      </c>
      <c r="G12" s="16">
        <v>2026</v>
      </c>
      <c r="H12" s="16" t="s">
        <v>39</v>
      </c>
      <c r="I12" s="16" t="s">
        <v>40</v>
      </c>
      <c r="J12" s="16" t="s">
        <v>142</v>
      </c>
      <c r="K12" s="16"/>
      <c r="L12" s="16" t="s">
        <v>58</v>
      </c>
      <c r="M12" s="16" t="s">
        <v>59</v>
      </c>
      <c r="N12" s="16" t="s">
        <v>143</v>
      </c>
      <c r="O12" s="16"/>
      <c r="P12" s="19" t="s">
        <v>144</v>
      </c>
      <c r="Q12" s="16" t="s">
        <v>145</v>
      </c>
      <c r="R12" s="16" t="s">
        <v>47</v>
      </c>
      <c r="S12" s="16" t="s">
        <v>146</v>
      </c>
      <c r="T12" s="16">
        <v>3102521005</v>
      </c>
      <c r="U12" s="16" t="s">
        <v>147</v>
      </c>
      <c r="V12" s="16" t="s">
        <v>148</v>
      </c>
      <c r="W12">
        <f t="shared" si="0"/>
        <v>29</v>
      </c>
      <c r="X12">
        <f t="shared" si="1"/>
        <v>7</v>
      </c>
      <c r="Y12">
        <f t="shared" si="2"/>
        <v>2026</v>
      </c>
      <c r="Z12" t="str">
        <f t="shared" si="3"/>
        <v>29-2026</v>
      </c>
      <c r="AA12" t="s">
        <v>51</v>
      </c>
      <c r="AB12">
        <v>4.5608458575304303</v>
      </c>
      <c r="AC12">
        <v>-74.126013736619299</v>
      </c>
      <c r="AE12" t="s">
        <v>70</v>
      </c>
      <c r="AF12">
        <v>1</v>
      </c>
      <c r="AH12" t="s">
        <v>71</v>
      </c>
    </row>
    <row r="13" spans="1:38" ht="32.1" customHeight="1">
      <c r="A13" s="16">
        <v>3652807</v>
      </c>
      <c r="B13" s="16" t="s">
        <v>114</v>
      </c>
      <c r="C13" s="16" t="s">
        <v>115</v>
      </c>
      <c r="D13" s="16" t="s">
        <v>116</v>
      </c>
      <c r="E13" s="16" t="s">
        <v>116</v>
      </c>
      <c r="F13" s="16" t="s">
        <v>149</v>
      </c>
      <c r="G13" s="16">
        <v>2026</v>
      </c>
      <c r="H13" s="16" t="s">
        <v>39</v>
      </c>
      <c r="I13" s="16" t="s">
        <v>40</v>
      </c>
      <c r="J13" s="16" t="s">
        <v>150</v>
      </c>
      <c r="K13" s="16"/>
      <c r="L13" s="16" t="s">
        <v>58</v>
      </c>
      <c r="M13" s="16" t="s">
        <v>59</v>
      </c>
      <c r="N13" s="16" t="s">
        <v>151</v>
      </c>
      <c r="O13" s="16"/>
      <c r="P13" s="19" t="s">
        <v>152</v>
      </c>
      <c r="Q13" s="16" t="s">
        <v>81</v>
      </c>
      <c r="R13" s="16" t="s">
        <v>89</v>
      </c>
      <c r="S13" s="16" t="s">
        <v>48</v>
      </c>
      <c r="T13" s="16" t="s">
        <v>153</v>
      </c>
      <c r="U13" s="16" t="s">
        <v>122</v>
      </c>
      <c r="V13" s="16" t="s">
        <v>154</v>
      </c>
      <c r="W13">
        <f t="shared" si="0"/>
        <v>29</v>
      </c>
      <c r="X13">
        <f t="shared" si="1"/>
        <v>7</v>
      </c>
      <c r="Y13">
        <f t="shared" si="2"/>
        <v>2026</v>
      </c>
      <c r="Z13" t="str">
        <f t="shared" si="3"/>
        <v>29-2026</v>
      </c>
      <c r="AA13" t="s">
        <v>51</v>
      </c>
      <c r="AB13">
        <v>4.6970167212173299</v>
      </c>
      <c r="AC13">
        <v>-74.044096808662403</v>
      </c>
      <c r="AE13" t="s">
        <v>53</v>
      </c>
      <c r="AF13">
        <v>1</v>
      </c>
    </row>
    <row r="14" spans="1:38" ht="32.1" customHeight="1">
      <c r="A14" s="16">
        <v>3652812</v>
      </c>
      <c r="B14" s="16" t="s">
        <v>114</v>
      </c>
      <c r="C14" s="16" t="s">
        <v>115</v>
      </c>
      <c r="D14" s="16" t="s">
        <v>116</v>
      </c>
      <c r="E14" s="16" t="s">
        <v>116</v>
      </c>
      <c r="F14" s="16" t="s">
        <v>155</v>
      </c>
      <c r="G14" s="16">
        <v>2026</v>
      </c>
      <c r="H14" s="16" t="s">
        <v>39</v>
      </c>
      <c r="I14" s="16" t="s">
        <v>40</v>
      </c>
      <c r="J14" s="16" t="s">
        <v>156</v>
      </c>
      <c r="K14" s="16"/>
      <c r="L14" s="16" t="s">
        <v>58</v>
      </c>
      <c r="M14" s="16" t="s">
        <v>59</v>
      </c>
      <c r="N14" s="16" t="s">
        <v>157</v>
      </c>
      <c r="O14" s="16"/>
      <c r="P14" s="19" t="s">
        <v>158</v>
      </c>
      <c r="Q14" s="16" t="s">
        <v>81</v>
      </c>
      <c r="R14" s="16" t="s">
        <v>89</v>
      </c>
      <c r="S14" s="16" t="s">
        <v>48</v>
      </c>
      <c r="T14" s="16">
        <v>3105722683</v>
      </c>
      <c r="U14" s="16" t="s">
        <v>159</v>
      </c>
      <c r="V14" s="19" t="s">
        <v>160</v>
      </c>
      <c r="W14">
        <f t="shared" si="0"/>
        <v>29</v>
      </c>
      <c r="X14">
        <f t="shared" si="1"/>
        <v>7</v>
      </c>
      <c r="Y14">
        <f t="shared" si="2"/>
        <v>2026</v>
      </c>
      <c r="Z14" t="str">
        <f t="shared" si="3"/>
        <v>29-2026</v>
      </c>
      <c r="AA14" t="s">
        <v>51</v>
      </c>
      <c r="AB14">
        <v>4.6976472368839497</v>
      </c>
      <c r="AC14">
        <v>-74.045903241507105</v>
      </c>
      <c r="AE14" t="s">
        <v>53</v>
      </c>
      <c r="AF14">
        <v>1</v>
      </c>
    </row>
    <row r="15" spans="1:38" ht="32.1" customHeight="1">
      <c r="A15" s="16">
        <v>3652852</v>
      </c>
      <c r="B15" s="16" t="s">
        <v>161</v>
      </c>
      <c r="C15" s="16" t="s">
        <v>162</v>
      </c>
      <c r="D15" s="16" t="s">
        <v>116</v>
      </c>
      <c r="E15" s="16" t="s">
        <v>116</v>
      </c>
      <c r="F15" s="16" t="s">
        <v>163</v>
      </c>
      <c r="G15" s="16">
        <v>2026</v>
      </c>
      <c r="H15" s="16" t="s">
        <v>39</v>
      </c>
      <c r="I15" s="16" t="s">
        <v>40</v>
      </c>
      <c r="J15" s="16" t="s">
        <v>164</v>
      </c>
      <c r="K15" s="16"/>
      <c r="L15" s="16" t="s">
        <v>58</v>
      </c>
      <c r="M15" s="16" t="s">
        <v>165</v>
      </c>
      <c r="N15" s="16" t="s">
        <v>166</v>
      </c>
      <c r="O15" s="16"/>
      <c r="P15" s="19" t="s">
        <v>167</v>
      </c>
      <c r="Q15" s="16" t="s">
        <v>81</v>
      </c>
      <c r="R15" s="16" t="s">
        <v>47</v>
      </c>
      <c r="S15" s="16" t="s">
        <v>48</v>
      </c>
      <c r="T15" s="16" t="s">
        <v>168</v>
      </c>
      <c r="U15" s="16">
        <v>3002661196</v>
      </c>
      <c r="V15" s="16" t="s">
        <v>169</v>
      </c>
      <c r="W15">
        <f t="shared" si="0"/>
        <v>29</v>
      </c>
      <c r="X15">
        <f t="shared" si="1"/>
        <v>7</v>
      </c>
      <c r="Y15">
        <f t="shared" si="2"/>
        <v>2026</v>
      </c>
      <c r="Z15" t="str">
        <f t="shared" si="3"/>
        <v>29-2026</v>
      </c>
      <c r="AA15" t="s">
        <v>51</v>
      </c>
      <c r="AB15">
        <v>4.3265115472693196</v>
      </c>
      <c r="AC15">
        <v>-74.396469270556196</v>
      </c>
      <c r="AE15" t="s">
        <v>70</v>
      </c>
      <c r="AF15">
        <v>1</v>
      </c>
      <c r="AH15" t="s">
        <v>170</v>
      </c>
    </row>
    <row r="16" spans="1:38" ht="32.1" customHeight="1">
      <c r="A16" s="16">
        <v>3652942</v>
      </c>
      <c r="B16" s="16" t="s">
        <v>171</v>
      </c>
      <c r="C16" s="16" t="s">
        <v>172</v>
      </c>
      <c r="D16" s="16" t="s">
        <v>116</v>
      </c>
      <c r="E16" s="16" t="s">
        <v>116</v>
      </c>
      <c r="F16" s="16" t="s">
        <v>173</v>
      </c>
      <c r="G16" s="16">
        <v>2026</v>
      </c>
      <c r="H16" s="16" t="s">
        <v>39</v>
      </c>
      <c r="I16" s="16" t="s">
        <v>40</v>
      </c>
      <c r="J16" s="16" t="s">
        <v>174</v>
      </c>
      <c r="K16" s="16"/>
      <c r="L16" s="16" t="s">
        <v>58</v>
      </c>
      <c r="M16" s="16" t="s">
        <v>59</v>
      </c>
      <c r="N16" s="16" t="s">
        <v>175</v>
      </c>
      <c r="O16" s="16"/>
      <c r="P16" s="19" t="s">
        <v>176</v>
      </c>
      <c r="Q16" s="16" t="s">
        <v>46</v>
      </c>
      <c r="R16" s="16" t="s">
        <v>89</v>
      </c>
      <c r="S16" s="16" t="s">
        <v>48</v>
      </c>
      <c r="T16" s="16">
        <v>3112914286</v>
      </c>
      <c r="U16" s="16" t="s">
        <v>177</v>
      </c>
      <c r="V16" s="16" t="s">
        <v>178</v>
      </c>
      <c r="W16">
        <f t="shared" si="0"/>
        <v>29</v>
      </c>
      <c r="X16">
        <f t="shared" si="1"/>
        <v>7</v>
      </c>
      <c r="Y16">
        <f t="shared" si="2"/>
        <v>2026</v>
      </c>
      <c r="Z16" t="str">
        <f t="shared" si="3"/>
        <v>29-2026</v>
      </c>
      <c r="AA16" t="s">
        <v>179</v>
      </c>
      <c r="AE16" t="s">
        <v>53</v>
      </c>
      <c r="AF16">
        <v>1</v>
      </c>
    </row>
    <row r="17" spans="1:38" ht="32.1" customHeight="1">
      <c r="A17" s="16">
        <v>3652948</v>
      </c>
      <c r="B17" s="16" t="s">
        <v>180</v>
      </c>
      <c r="C17" s="16" t="s">
        <v>181</v>
      </c>
      <c r="D17" s="16" t="s">
        <v>116</v>
      </c>
      <c r="E17" s="16" t="s">
        <v>116</v>
      </c>
      <c r="F17" s="16" t="s">
        <v>182</v>
      </c>
      <c r="G17" s="16">
        <v>2026</v>
      </c>
      <c r="H17" s="16" t="s">
        <v>39</v>
      </c>
      <c r="I17" s="16" t="s">
        <v>40</v>
      </c>
      <c r="J17" s="16" t="s">
        <v>183</v>
      </c>
      <c r="K17" s="16"/>
      <c r="L17" s="16" t="s">
        <v>58</v>
      </c>
      <c r="M17" s="16" t="s">
        <v>165</v>
      </c>
      <c r="N17" s="16" t="s">
        <v>184</v>
      </c>
      <c r="O17" s="16"/>
      <c r="P17" s="19" t="s">
        <v>185</v>
      </c>
      <c r="Q17" s="16" t="s">
        <v>81</v>
      </c>
      <c r="R17" s="16" t="s">
        <v>89</v>
      </c>
      <c r="S17" s="16" t="s">
        <v>48</v>
      </c>
      <c r="T17" s="16">
        <v>3105652759</v>
      </c>
      <c r="U17" s="16" t="s">
        <v>186</v>
      </c>
      <c r="V17" s="16" t="s">
        <v>187</v>
      </c>
      <c r="W17">
        <f t="shared" si="0"/>
        <v>29</v>
      </c>
      <c r="X17">
        <f t="shared" si="1"/>
        <v>7</v>
      </c>
      <c r="Y17">
        <f t="shared" si="2"/>
        <v>2026</v>
      </c>
      <c r="Z17" t="str">
        <f t="shared" si="3"/>
        <v>29-2026</v>
      </c>
      <c r="AA17" t="s">
        <v>51</v>
      </c>
      <c r="AB17">
        <v>4.8180466816630698</v>
      </c>
      <c r="AC17">
        <v>-74.358422879050096</v>
      </c>
      <c r="AE17" t="s">
        <v>70</v>
      </c>
      <c r="AF17">
        <v>1</v>
      </c>
      <c r="AH17" t="s">
        <v>71</v>
      </c>
    </row>
    <row r="18" spans="1:38" ht="32.1" customHeight="1">
      <c r="A18" s="16">
        <v>3652991</v>
      </c>
      <c r="B18" s="16" t="s">
        <v>180</v>
      </c>
      <c r="C18" s="16" t="s">
        <v>181</v>
      </c>
      <c r="D18" s="16" t="s">
        <v>116</v>
      </c>
      <c r="E18" s="16" t="s">
        <v>116</v>
      </c>
      <c r="F18" s="16" t="s">
        <v>188</v>
      </c>
      <c r="G18" s="16">
        <v>2026</v>
      </c>
      <c r="H18" s="16" t="s">
        <v>39</v>
      </c>
      <c r="I18" s="16" t="s">
        <v>40</v>
      </c>
      <c r="J18" s="16" t="s">
        <v>189</v>
      </c>
      <c r="K18" s="16" t="s">
        <v>190</v>
      </c>
      <c r="L18" s="16" t="s">
        <v>58</v>
      </c>
      <c r="M18" s="16" t="s">
        <v>165</v>
      </c>
      <c r="N18" s="16" t="s">
        <v>191</v>
      </c>
      <c r="O18" s="16"/>
      <c r="P18" s="19" t="s">
        <v>192</v>
      </c>
      <c r="Q18" s="16" t="s">
        <v>46</v>
      </c>
      <c r="R18" s="16" t="s">
        <v>47</v>
      </c>
      <c r="S18" s="16" t="s">
        <v>90</v>
      </c>
      <c r="T18" s="16">
        <v>3115576168</v>
      </c>
      <c r="U18" s="16" t="s">
        <v>186</v>
      </c>
      <c r="V18" s="16" t="s">
        <v>193</v>
      </c>
      <c r="W18">
        <f t="shared" si="0"/>
        <v>29</v>
      </c>
      <c r="X18">
        <f t="shared" si="1"/>
        <v>7</v>
      </c>
      <c r="Y18">
        <f t="shared" si="2"/>
        <v>2026</v>
      </c>
      <c r="Z18" t="str">
        <f t="shared" si="3"/>
        <v>29-2026</v>
      </c>
      <c r="AA18" t="s">
        <v>51</v>
      </c>
      <c r="AB18">
        <v>4.8077699537529099</v>
      </c>
      <c r="AC18">
        <v>-74.3498237283534</v>
      </c>
      <c r="AE18" t="s">
        <v>70</v>
      </c>
      <c r="AF18">
        <v>1</v>
      </c>
      <c r="AH18" t="s">
        <v>71</v>
      </c>
    </row>
    <row r="19" spans="1:38" ht="32.1" customHeight="1">
      <c r="A19" s="16">
        <v>3653000</v>
      </c>
      <c r="B19" s="16" t="s">
        <v>194</v>
      </c>
      <c r="C19" s="16" t="s">
        <v>195</v>
      </c>
      <c r="D19" s="16" t="s">
        <v>116</v>
      </c>
      <c r="E19" s="16" t="s">
        <v>116</v>
      </c>
      <c r="F19" s="16" t="s">
        <v>196</v>
      </c>
      <c r="G19" s="16">
        <v>2026</v>
      </c>
      <c r="H19" s="16" t="s">
        <v>39</v>
      </c>
      <c r="I19" s="16" t="s">
        <v>40</v>
      </c>
      <c r="J19" s="16" t="s">
        <v>197</v>
      </c>
      <c r="K19" s="16" t="s">
        <v>198</v>
      </c>
      <c r="L19" s="16" t="s">
        <v>58</v>
      </c>
      <c r="M19" s="16" t="s">
        <v>59</v>
      </c>
      <c r="N19" s="16" t="s">
        <v>199</v>
      </c>
      <c r="O19" s="16"/>
      <c r="P19" s="19" t="s">
        <v>200</v>
      </c>
      <c r="Q19" s="16" t="s">
        <v>81</v>
      </c>
      <c r="R19" s="16" t="s">
        <v>47</v>
      </c>
      <c r="S19" s="16" t="s">
        <v>48</v>
      </c>
      <c r="T19" s="16" t="s">
        <v>201</v>
      </c>
      <c r="U19" s="16" t="s">
        <v>202</v>
      </c>
      <c r="V19" s="16" t="s">
        <v>203</v>
      </c>
      <c r="W19">
        <f t="shared" si="0"/>
        <v>29</v>
      </c>
      <c r="X19">
        <f t="shared" si="1"/>
        <v>7</v>
      </c>
      <c r="Y19">
        <f t="shared" si="2"/>
        <v>2026</v>
      </c>
      <c r="Z19" t="str">
        <f t="shared" si="3"/>
        <v>29-2026</v>
      </c>
      <c r="AA19" t="s">
        <v>51</v>
      </c>
      <c r="AB19">
        <v>4.6289799591781398</v>
      </c>
      <c r="AC19">
        <v>-74.114922000028599</v>
      </c>
      <c r="AE19" t="s">
        <v>70</v>
      </c>
      <c r="AF19">
        <v>1</v>
      </c>
      <c r="AH19" t="s">
        <v>71</v>
      </c>
    </row>
    <row r="20" spans="1:38" ht="32.1" customHeight="1">
      <c r="A20" s="16">
        <v>3653008</v>
      </c>
      <c r="B20" s="16" t="s">
        <v>180</v>
      </c>
      <c r="C20" s="16" t="s">
        <v>181</v>
      </c>
      <c r="D20" s="16" t="s">
        <v>116</v>
      </c>
      <c r="E20" s="16" t="s">
        <v>116</v>
      </c>
      <c r="F20" s="16" t="s">
        <v>204</v>
      </c>
      <c r="G20" s="16">
        <v>2026</v>
      </c>
      <c r="H20" s="16" t="s">
        <v>39</v>
      </c>
      <c r="I20" s="16" t="s">
        <v>40</v>
      </c>
      <c r="J20" s="16" t="s">
        <v>205</v>
      </c>
      <c r="K20" s="16"/>
      <c r="L20" s="16" t="s">
        <v>58</v>
      </c>
      <c r="M20" s="16" t="s">
        <v>165</v>
      </c>
      <c r="N20" s="16" t="s">
        <v>206</v>
      </c>
      <c r="O20" s="16"/>
      <c r="P20" s="19" t="s">
        <v>207</v>
      </c>
      <c r="Q20" s="16" t="s">
        <v>46</v>
      </c>
      <c r="R20" s="16" t="s">
        <v>89</v>
      </c>
      <c r="S20" s="16" t="s">
        <v>146</v>
      </c>
      <c r="T20" s="16" t="s">
        <v>208</v>
      </c>
      <c r="U20" s="16" t="s">
        <v>186</v>
      </c>
      <c r="V20" s="16" t="s">
        <v>209</v>
      </c>
      <c r="W20">
        <f t="shared" si="0"/>
        <v>29</v>
      </c>
      <c r="X20">
        <f t="shared" si="1"/>
        <v>7</v>
      </c>
      <c r="Y20">
        <f t="shared" si="2"/>
        <v>2026</v>
      </c>
      <c r="Z20" t="str">
        <f t="shared" si="3"/>
        <v>29-2026</v>
      </c>
      <c r="AA20" t="s">
        <v>51</v>
      </c>
      <c r="AB20">
        <v>4.8101169010620399</v>
      </c>
      <c r="AC20">
        <v>-74.350224000008893</v>
      </c>
      <c r="AE20" t="s">
        <v>70</v>
      </c>
      <c r="AF20">
        <v>1</v>
      </c>
      <c r="AH20" t="s">
        <v>71</v>
      </c>
    </row>
    <row r="21" spans="1:38" ht="32.1" customHeight="1">
      <c r="A21" s="16">
        <v>3653140</v>
      </c>
      <c r="B21" s="16" t="s">
        <v>171</v>
      </c>
      <c r="C21" s="16" t="s">
        <v>172</v>
      </c>
      <c r="D21" s="16" t="s">
        <v>116</v>
      </c>
      <c r="E21" s="16" t="s">
        <v>116</v>
      </c>
      <c r="F21" s="16" t="s">
        <v>210</v>
      </c>
      <c r="G21" s="16">
        <v>2026</v>
      </c>
      <c r="H21" s="16" t="s">
        <v>39</v>
      </c>
      <c r="I21" s="16" t="s">
        <v>40</v>
      </c>
      <c r="J21" s="16" t="s">
        <v>211</v>
      </c>
      <c r="K21" s="16"/>
      <c r="L21" s="16" t="s">
        <v>58</v>
      </c>
      <c r="M21" s="16" t="s">
        <v>59</v>
      </c>
      <c r="N21" s="16" t="s">
        <v>212</v>
      </c>
      <c r="O21" s="16"/>
      <c r="P21" s="19" t="s">
        <v>213</v>
      </c>
      <c r="Q21" s="16" t="s">
        <v>46</v>
      </c>
      <c r="R21" s="16" t="s">
        <v>47</v>
      </c>
      <c r="S21" s="16" t="s">
        <v>146</v>
      </c>
      <c r="T21" s="16">
        <v>3142406629</v>
      </c>
      <c r="U21" s="16" t="s">
        <v>186</v>
      </c>
      <c r="V21" s="16" t="s">
        <v>214</v>
      </c>
      <c r="W21">
        <f t="shared" si="0"/>
        <v>29</v>
      </c>
      <c r="X21">
        <f t="shared" si="1"/>
        <v>7</v>
      </c>
      <c r="Y21">
        <f t="shared" si="2"/>
        <v>2026</v>
      </c>
      <c r="Z21" t="str">
        <f t="shared" si="3"/>
        <v>29-2026</v>
      </c>
      <c r="AA21" t="s">
        <v>51</v>
      </c>
      <c r="AB21">
        <v>4.6710371533935504</v>
      </c>
      <c r="AC21">
        <v>-74.106393869313095</v>
      </c>
      <c r="AE21" t="s">
        <v>53</v>
      </c>
      <c r="AF21">
        <v>1</v>
      </c>
      <c r="AH21" t="s">
        <v>94</v>
      </c>
    </row>
    <row r="22" spans="1:38" ht="32.1" customHeight="1">
      <c r="A22" s="16">
        <v>3653143</v>
      </c>
      <c r="B22" s="16" t="s">
        <v>215</v>
      </c>
      <c r="C22" s="16" t="s">
        <v>216</v>
      </c>
      <c r="D22" s="16" t="s">
        <v>116</v>
      </c>
      <c r="E22" s="16" t="s">
        <v>116</v>
      </c>
      <c r="F22" s="16" t="s">
        <v>217</v>
      </c>
      <c r="G22" s="16">
        <v>2026</v>
      </c>
      <c r="H22" s="16" t="s">
        <v>39</v>
      </c>
      <c r="I22" s="16" t="s">
        <v>40</v>
      </c>
      <c r="J22" s="16" t="s">
        <v>218</v>
      </c>
      <c r="K22" s="16"/>
      <c r="L22" s="16" t="s">
        <v>58</v>
      </c>
      <c r="M22" s="16" t="s">
        <v>59</v>
      </c>
      <c r="N22" s="16" t="s">
        <v>219</v>
      </c>
      <c r="O22" s="16"/>
      <c r="P22" s="19" t="s">
        <v>220</v>
      </c>
      <c r="Q22" s="16" t="s">
        <v>46</v>
      </c>
      <c r="R22" s="16" t="s">
        <v>89</v>
      </c>
      <c r="S22" s="16" t="s">
        <v>48</v>
      </c>
      <c r="T22" s="16">
        <v>3114910947</v>
      </c>
      <c r="U22" s="16" t="s">
        <v>221</v>
      </c>
      <c r="V22" s="16" t="s">
        <v>222</v>
      </c>
      <c r="W22">
        <f t="shared" si="0"/>
        <v>29</v>
      </c>
      <c r="X22">
        <f t="shared" si="1"/>
        <v>7</v>
      </c>
      <c r="Y22">
        <f t="shared" si="2"/>
        <v>2026</v>
      </c>
      <c r="Z22" t="str">
        <f t="shared" si="3"/>
        <v>29-2026</v>
      </c>
      <c r="AA22" t="s">
        <v>51</v>
      </c>
      <c r="AB22">
        <v>4.6983253464068202</v>
      </c>
      <c r="AC22">
        <v>-74.0433192000106</v>
      </c>
      <c r="AE22" t="s">
        <v>53</v>
      </c>
      <c r="AF22">
        <v>1</v>
      </c>
    </row>
    <row r="23" spans="1:38" ht="32.1" customHeight="1">
      <c r="A23" s="16">
        <v>3653092</v>
      </c>
      <c r="B23" s="16" t="s">
        <v>223</v>
      </c>
      <c r="C23" s="16" t="s">
        <v>224</v>
      </c>
      <c r="D23" s="16" t="s">
        <v>116</v>
      </c>
      <c r="E23" s="16" t="s">
        <v>116</v>
      </c>
      <c r="F23" s="16" t="s">
        <v>225</v>
      </c>
      <c r="G23" s="16">
        <v>2026</v>
      </c>
      <c r="H23" s="16" t="s">
        <v>39</v>
      </c>
      <c r="I23" s="16" t="s">
        <v>40</v>
      </c>
      <c r="J23" s="16" t="s">
        <v>226</v>
      </c>
      <c r="K23" s="16"/>
      <c r="L23" s="16" t="s">
        <v>58</v>
      </c>
      <c r="M23" s="16" t="s">
        <v>165</v>
      </c>
      <c r="N23" s="16" t="s">
        <v>227</v>
      </c>
      <c r="O23" s="16"/>
      <c r="P23" s="19" t="s">
        <v>228</v>
      </c>
      <c r="Q23" s="16" t="s">
        <v>145</v>
      </c>
      <c r="R23" s="16" t="s">
        <v>89</v>
      </c>
      <c r="S23" s="16" t="s">
        <v>146</v>
      </c>
      <c r="T23" s="16">
        <v>3506549064</v>
      </c>
      <c r="U23" s="16">
        <v>3506549064</v>
      </c>
      <c r="V23" s="16" t="s">
        <v>229</v>
      </c>
      <c r="W23">
        <f t="shared" si="0"/>
        <v>29</v>
      </c>
      <c r="X23">
        <f t="shared" si="1"/>
        <v>7</v>
      </c>
      <c r="Y23">
        <f t="shared" si="2"/>
        <v>2026</v>
      </c>
      <c r="Z23" t="str">
        <f t="shared" si="3"/>
        <v>29-2026</v>
      </c>
      <c r="AA23" t="s">
        <v>51</v>
      </c>
      <c r="AB23">
        <v>4.6214150772067697</v>
      </c>
      <c r="AC23">
        <v>-74.068016700000101</v>
      </c>
      <c r="AE23" t="s">
        <v>70</v>
      </c>
      <c r="AF23">
        <v>1</v>
      </c>
      <c r="AH23" t="s">
        <v>94</v>
      </c>
      <c r="AL23" t="s">
        <v>230</v>
      </c>
    </row>
    <row r="24" spans="1:38" ht="32.1" customHeight="1">
      <c r="A24" s="16">
        <v>3656243</v>
      </c>
      <c r="B24" s="16" t="s">
        <v>161</v>
      </c>
      <c r="C24" s="16" t="s">
        <v>162</v>
      </c>
      <c r="D24" s="16" t="s">
        <v>231</v>
      </c>
      <c r="E24" s="16" t="s">
        <v>231</v>
      </c>
      <c r="F24" s="16" t="s">
        <v>232</v>
      </c>
      <c r="G24" s="16">
        <v>2026</v>
      </c>
      <c r="H24" s="16" t="s">
        <v>39</v>
      </c>
      <c r="I24" s="16" t="s">
        <v>40</v>
      </c>
      <c r="J24" s="16" t="s">
        <v>233</v>
      </c>
      <c r="K24" s="16"/>
      <c r="L24" s="16" t="s">
        <v>58</v>
      </c>
      <c r="M24" s="16" t="s">
        <v>165</v>
      </c>
      <c r="N24" s="16" t="s">
        <v>234</v>
      </c>
      <c r="O24" s="16"/>
      <c r="P24" s="19" t="s">
        <v>235</v>
      </c>
      <c r="Q24" s="16" t="s">
        <v>46</v>
      </c>
      <c r="R24" s="16" t="s">
        <v>47</v>
      </c>
      <c r="S24" s="16" t="s">
        <v>48</v>
      </c>
      <c r="T24" s="16" t="s">
        <v>236</v>
      </c>
      <c r="U24" s="16" t="s">
        <v>237</v>
      </c>
      <c r="V24" s="16" t="s">
        <v>238</v>
      </c>
      <c r="W24">
        <f t="shared" si="0"/>
        <v>29</v>
      </c>
      <c r="X24">
        <f t="shared" si="1"/>
        <v>7</v>
      </c>
      <c r="Y24">
        <f t="shared" si="2"/>
        <v>2026</v>
      </c>
      <c r="Z24" t="str">
        <f t="shared" si="3"/>
        <v>29-2026</v>
      </c>
      <c r="AA24" t="s">
        <v>51</v>
      </c>
      <c r="AB24">
        <v>4.2976649519973202</v>
      </c>
      <c r="AC24">
        <v>-74.804779644180798</v>
      </c>
      <c r="AE24" t="s">
        <v>70</v>
      </c>
      <c r="AF24">
        <v>1</v>
      </c>
      <c r="AH24" t="s">
        <v>170</v>
      </c>
    </row>
    <row r="25" spans="1:38" ht="32.1" customHeight="1">
      <c r="A25" s="16">
        <v>3656464</v>
      </c>
      <c r="B25" s="16" t="s">
        <v>54</v>
      </c>
      <c r="C25" s="16" t="s">
        <v>55</v>
      </c>
      <c r="D25" s="16" t="s">
        <v>231</v>
      </c>
      <c r="E25" s="16" t="s">
        <v>231</v>
      </c>
      <c r="F25" s="16" t="s">
        <v>239</v>
      </c>
      <c r="G25" s="16">
        <v>2026</v>
      </c>
      <c r="H25" s="16" t="s">
        <v>39</v>
      </c>
      <c r="I25" s="16" t="s">
        <v>40</v>
      </c>
      <c r="J25" s="16" t="s">
        <v>240</v>
      </c>
      <c r="K25" s="16"/>
      <c r="L25" s="16" t="s">
        <v>58</v>
      </c>
      <c r="M25" s="16" t="s">
        <v>59</v>
      </c>
      <c r="N25" s="16" t="s">
        <v>241</v>
      </c>
      <c r="O25" s="16"/>
      <c r="P25" s="19" t="s">
        <v>242</v>
      </c>
      <c r="Q25" s="16" t="s">
        <v>46</v>
      </c>
      <c r="R25" s="16" t="s">
        <v>89</v>
      </c>
      <c r="S25" s="16" t="s">
        <v>48</v>
      </c>
      <c r="T25" s="16">
        <v>3123311755</v>
      </c>
      <c r="U25" s="16">
        <v>3208997195</v>
      </c>
      <c r="V25" s="16" t="s">
        <v>243</v>
      </c>
      <c r="W25">
        <f t="shared" si="0"/>
        <v>29</v>
      </c>
      <c r="X25">
        <f t="shared" si="1"/>
        <v>7</v>
      </c>
      <c r="Y25">
        <f t="shared" si="2"/>
        <v>2026</v>
      </c>
      <c r="Z25" t="str">
        <f t="shared" si="3"/>
        <v>29-2026</v>
      </c>
      <c r="AA25" t="s">
        <v>51</v>
      </c>
      <c r="AB25">
        <v>4.7423162697336601</v>
      </c>
      <c r="AC25">
        <v>-74.047421626984203</v>
      </c>
      <c r="AE25" t="s">
        <v>70</v>
      </c>
      <c r="AF25">
        <v>1</v>
      </c>
      <c r="AH25" t="s">
        <v>170</v>
      </c>
    </row>
    <row r="26" spans="1:38" ht="32.1" customHeight="1">
      <c r="A26" s="16">
        <v>3656477</v>
      </c>
      <c r="B26" s="16" t="s">
        <v>139</v>
      </c>
      <c r="C26" s="16" t="s">
        <v>140</v>
      </c>
      <c r="D26" s="16" t="s">
        <v>231</v>
      </c>
      <c r="E26" s="16" t="s">
        <v>231</v>
      </c>
      <c r="F26" s="16" t="s">
        <v>244</v>
      </c>
      <c r="G26" s="16">
        <v>2026</v>
      </c>
      <c r="H26" s="16" t="s">
        <v>39</v>
      </c>
      <c r="I26" s="16" t="s">
        <v>40</v>
      </c>
      <c r="J26" s="16" t="s">
        <v>245</v>
      </c>
      <c r="K26" s="16"/>
      <c r="L26" s="16" t="s">
        <v>58</v>
      </c>
      <c r="M26" s="16" t="s">
        <v>59</v>
      </c>
      <c r="N26" s="16" t="s">
        <v>246</v>
      </c>
      <c r="O26" s="16"/>
      <c r="P26" s="19" t="s">
        <v>247</v>
      </c>
      <c r="Q26" s="16" t="s">
        <v>145</v>
      </c>
      <c r="R26" s="16" t="s">
        <v>47</v>
      </c>
      <c r="S26" s="16" t="s">
        <v>146</v>
      </c>
      <c r="T26" s="16">
        <v>3205633053</v>
      </c>
      <c r="U26" s="16">
        <v>3205633053</v>
      </c>
      <c r="V26" s="16" t="s">
        <v>248</v>
      </c>
      <c r="W26">
        <f t="shared" si="0"/>
        <v>29</v>
      </c>
      <c r="X26">
        <f t="shared" si="1"/>
        <v>7</v>
      </c>
      <c r="Y26">
        <f t="shared" si="2"/>
        <v>2026</v>
      </c>
      <c r="Z26" t="str">
        <f t="shared" si="3"/>
        <v>29-2026</v>
      </c>
      <c r="AA26" t="s">
        <v>51</v>
      </c>
      <c r="AB26">
        <v>4.5235151000670504</v>
      </c>
      <c r="AC26">
        <v>-74.123654575595296</v>
      </c>
      <c r="AE26" t="s">
        <v>70</v>
      </c>
      <c r="AF26">
        <v>1</v>
      </c>
      <c r="AH26" t="s">
        <v>94</v>
      </c>
    </row>
    <row r="27" spans="1:38" ht="32.1" customHeight="1">
      <c r="A27" s="16">
        <v>3656520</v>
      </c>
      <c r="B27" s="16" t="s">
        <v>95</v>
      </c>
      <c r="C27" s="16" t="s">
        <v>96</v>
      </c>
      <c r="D27" s="16" t="s">
        <v>231</v>
      </c>
      <c r="E27" s="16" t="s">
        <v>231</v>
      </c>
      <c r="F27" s="16" t="s">
        <v>249</v>
      </c>
      <c r="G27" s="16">
        <v>2026</v>
      </c>
      <c r="H27" s="16" t="s">
        <v>39</v>
      </c>
      <c r="I27" s="16" t="s">
        <v>40</v>
      </c>
      <c r="J27" s="16" t="s">
        <v>250</v>
      </c>
      <c r="K27" s="16"/>
      <c r="L27" s="16" t="s">
        <v>77</v>
      </c>
      <c r="M27" s="16" t="s">
        <v>78</v>
      </c>
      <c r="N27" s="16" t="s">
        <v>251</v>
      </c>
      <c r="O27" s="16"/>
      <c r="P27" s="19" t="s">
        <v>252</v>
      </c>
      <c r="Q27" s="16" t="s">
        <v>81</v>
      </c>
      <c r="R27" s="16" t="s">
        <v>89</v>
      </c>
      <c r="S27" s="16" t="s">
        <v>90</v>
      </c>
      <c r="T27" s="16">
        <v>3104223304</v>
      </c>
      <c r="U27" s="16" t="s">
        <v>253</v>
      </c>
      <c r="V27" s="16" t="s">
        <v>254</v>
      </c>
      <c r="W27">
        <f t="shared" si="0"/>
        <v>29</v>
      </c>
      <c r="X27">
        <f t="shared" si="1"/>
        <v>7</v>
      </c>
      <c r="Y27">
        <f t="shared" si="2"/>
        <v>2026</v>
      </c>
      <c r="Z27" t="str">
        <f t="shared" si="3"/>
        <v>29-2026</v>
      </c>
      <c r="AA27" t="s">
        <v>51</v>
      </c>
      <c r="AB27">
        <v>4.8035609814776299</v>
      </c>
      <c r="AC27">
        <v>-75.690927171519505</v>
      </c>
      <c r="AE27" t="s">
        <v>70</v>
      </c>
      <c r="AF27">
        <v>1</v>
      </c>
      <c r="AH27" t="s">
        <v>94</v>
      </c>
    </row>
    <row r="28" spans="1:38" ht="32.1" customHeight="1">
      <c r="A28" s="16">
        <v>3656577</v>
      </c>
      <c r="B28" s="16" t="s">
        <v>73</v>
      </c>
      <c r="C28" s="16" t="s">
        <v>74</v>
      </c>
      <c r="D28" s="16" t="s">
        <v>231</v>
      </c>
      <c r="E28" s="16" t="s">
        <v>231</v>
      </c>
      <c r="F28" s="16" t="s">
        <v>255</v>
      </c>
      <c r="G28" s="16">
        <v>2026</v>
      </c>
      <c r="H28" s="16" t="s">
        <v>39</v>
      </c>
      <c r="I28" s="16" t="s">
        <v>40</v>
      </c>
      <c r="J28" s="16" t="s">
        <v>256</v>
      </c>
      <c r="K28" s="16"/>
      <c r="L28" s="16" t="s">
        <v>77</v>
      </c>
      <c r="M28" s="16" t="s">
        <v>78</v>
      </c>
      <c r="N28" s="16" t="s">
        <v>257</v>
      </c>
      <c r="O28" s="16"/>
      <c r="P28" s="19" t="s">
        <v>258</v>
      </c>
      <c r="Q28" s="16" t="s">
        <v>46</v>
      </c>
      <c r="R28" s="16" t="s">
        <v>47</v>
      </c>
      <c r="S28" s="16" t="s">
        <v>146</v>
      </c>
      <c r="T28" s="16" t="s">
        <v>259</v>
      </c>
      <c r="U28" s="16" t="s">
        <v>260</v>
      </c>
      <c r="V28" s="16" t="s">
        <v>261</v>
      </c>
      <c r="W28">
        <f t="shared" si="0"/>
        <v>29</v>
      </c>
      <c r="X28">
        <f t="shared" si="1"/>
        <v>7</v>
      </c>
      <c r="Y28">
        <f t="shared" si="2"/>
        <v>2026</v>
      </c>
      <c r="Z28" t="str">
        <f t="shared" si="3"/>
        <v>29-2026</v>
      </c>
      <c r="AA28" t="s">
        <v>51</v>
      </c>
      <c r="AB28">
        <v>4.8014199279788201</v>
      </c>
      <c r="AC28">
        <v>-75.841607628850099</v>
      </c>
      <c r="AE28" t="s">
        <v>53</v>
      </c>
      <c r="AF28">
        <v>1</v>
      </c>
    </row>
    <row r="29" spans="1:38" ht="32.1" customHeight="1">
      <c r="A29" s="16">
        <v>3656588</v>
      </c>
      <c r="B29" s="16" t="s">
        <v>215</v>
      </c>
      <c r="C29" s="16" t="s">
        <v>216</v>
      </c>
      <c r="D29" s="16" t="s">
        <v>231</v>
      </c>
      <c r="E29" s="16" t="s">
        <v>231</v>
      </c>
      <c r="F29" s="16" t="s">
        <v>262</v>
      </c>
      <c r="G29" s="16">
        <v>2026</v>
      </c>
      <c r="H29" s="16" t="s">
        <v>39</v>
      </c>
      <c r="I29" s="16" t="s">
        <v>40</v>
      </c>
      <c r="J29" s="16" t="s">
        <v>263</v>
      </c>
      <c r="K29" s="16"/>
      <c r="L29" s="16" t="s">
        <v>58</v>
      </c>
      <c r="M29" s="16" t="s">
        <v>59</v>
      </c>
      <c r="N29" s="16" t="s">
        <v>264</v>
      </c>
      <c r="O29" s="16"/>
      <c r="P29" s="19" t="s">
        <v>265</v>
      </c>
      <c r="Q29" s="16" t="s">
        <v>46</v>
      </c>
      <c r="R29" s="16" t="s">
        <v>89</v>
      </c>
      <c r="S29" s="16" t="s">
        <v>48</v>
      </c>
      <c r="T29" s="16" t="s">
        <v>266</v>
      </c>
      <c r="U29" s="16" t="s">
        <v>221</v>
      </c>
      <c r="V29" s="16" t="s">
        <v>267</v>
      </c>
      <c r="W29">
        <f t="shared" si="0"/>
        <v>29</v>
      </c>
      <c r="X29">
        <f t="shared" si="1"/>
        <v>7</v>
      </c>
      <c r="Y29">
        <f t="shared" si="2"/>
        <v>2026</v>
      </c>
      <c r="Z29" t="str">
        <f t="shared" si="3"/>
        <v>29-2026</v>
      </c>
      <c r="AA29" t="s">
        <v>51</v>
      </c>
      <c r="AB29">
        <v>4.7032329975330303</v>
      </c>
      <c r="AC29">
        <v>-74.054021598190303</v>
      </c>
      <c r="AE29" t="s">
        <v>70</v>
      </c>
      <c r="AF29">
        <v>1</v>
      </c>
      <c r="AH29" t="s">
        <v>170</v>
      </c>
    </row>
    <row r="30" spans="1:38" ht="32.1" customHeight="1">
      <c r="A30" s="16">
        <v>3656652</v>
      </c>
      <c r="B30" s="16" t="s">
        <v>54</v>
      </c>
      <c r="C30" s="16" t="s">
        <v>55</v>
      </c>
      <c r="D30" s="16" t="s">
        <v>231</v>
      </c>
      <c r="E30" s="16" t="s">
        <v>231</v>
      </c>
      <c r="F30" s="16" t="s">
        <v>268</v>
      </c>
      <c r="G30" s="16">
        <v>2026</v>
      </c>
      <c r="H30" s="16" t="s">
        <v>39</v>
      </c>
      <c r="I30" s="16" t="s">
        <v>40</v>
      </c>
      <c r="J30" s="16" t="s">
        <v>269</v>
      </c>
      <c r="K30" s="16" t="s">
        <v>270</v>
      </c>
      <c r="L30" s="16" t="s">
        <v>58</v>
      </c>
      <c r="M30" s="16" t="s">
        <v>59</v>
      </c>
      <c r="N30" s="23" t="s">
        <v>271</v>
      </c>
      <c r="O30" s="16"/>
      <c r="P30" s="19" t="s">
        <v>272</v>
      </c>
      <c r="Q30" s="16" t="s">
        <v>145</v>
      </c>
      <c r="R30" s="16" t="s">
        <v>47</v>
      </c>
      <c r="S30" s="16" t="s">
        <v>146</v>
      </c>
      <c r="T30" s="16">
        <v>3124883281</v>
      </c>
      <c r="U30" s="16">
        <v>3028167161</v>
      </c>
      <c r="V30" s="16" t="s">
        <v>273</v>
      </c>
      <c r="W30">
        <f t="shared" si="0"/>
        <v>29</v>
      </c>
      <c r="X30">
        <f t="shared" si="1"/>
        <v>7</v>
      </c>
      <c r="Y30">
        <f t="shared" si="2"/>
        <v>2026</v>
      </c>
      <c r="Z30" t="str">
        <f t="shared" si="3"/>
        <v>29-2026</v>
      </c>
      <c r="AA30" t="s">
        <v>51</v>
      </c>
      <c r="AB30">
        <v>4.7516917299031904</v>
      </c>
      <c r="AC30">
        <v>-74.086346186513794</v>
      </c>
      <c r="AE30" t="s">
        <v>70</v>
      </c>
      <c r="AF30">
        <v>1</v>
      </c>
      <c r="AH30" t="s">
        <v>170</v>
      </c>
    </row>
    <row r="31" spans="1:38" ht="32.1" customHeight="1">
      <c r="A31" s="16">
        <v>3668119</v>
      </c>
      <c r="B31" s="16" t="s">
        <v>274</v>
      </c>
      <c r="C31" s="16" t="s">
        <v>275</v>
      </c>
      <c r="D31" s="16" t="s">
        <v>276</v>
      </c>
      <c r="E31" s="16" t="s">
        <v>276</v>
      </c>
      <c r="F31" s="16" t="s">
        <v>277</v>
      </c>
      <c r="G31" s="16">
        <v>2026</v>
      </c>
      <c r="H31" s="16" t="s">
        <v>39</v>
      </c>
      <c r="I31" s="16" t="s">
        <v>40</v>
      </c>
      <c r="J31" s="23" t="s">
        <v>278</v>
      </c>
      <c r="K31" s="23" t="s">
        <v>279</v>
      </c>
      <c r="L31" s="16" t="s">
        <v>58</v>
      </c>
      <c r="M31" s="21" t="s">
        <v>107</v>
      </c>
      <c r="N31" s="24" t="s">
        <v>280</v>
      </c>
      <c r="O31" s="22"/>
      <c r="P31" s="19" t="s">
        <v>281</v>
      </c>
      <c r="Q31" s="16" t="s">
        <v>145</v>
      </c>
      <c r="R31" s="16" t="s">
        <v>47</v>
      </c>
      <c r="S31" s="16" t="s">
        <v>146</v>
      </c>
      <c r="T31" s="16" t="s">
        <v>282</v>
      </c>
      <c r="U31" s="16">
        <v>3112581902</v>
      </c>
      <c r="V31" s="19" t="s">
        <v>283</v>
      </c>
      <c r="W31">
        <f t="shared" si="0"/>
        <v>30</v>
      </c>
      <c r="X31">
        <f t="shared" si="1"/>
        <v>7</v>
      </c>
      <c r="Y31">
        <f t="shared" si="2"/>
        <v>2026</v>
      </c>
      <c r="Z31" t="s">
        <v>284</v>
      </c>
      <c r="AA31" t="s">
        <v>51</v>
      </c>
      <c r="AB31" t="s">
        <v>285</v>
      </c>
      <c r="AE31" t="s">
        <v>53</v>
      </c>
      <c r="AF31">
        <v>1</v>
      </c>
      <c r="AG31" t="s">
        <v>286</v>
      </c>
    </row>
    <row r="32" spans="1:38" ht="18.95" customHeight="1">
      <c r="A32" s="23">
        <v>3671208</v>
      </c>
      <c r="B32" s="23" t="s">
        <v>287</v>
      </c>
      <c r="C32" s="23" t="s">
        <v>288</v>
      </c>
      <c r="D32" s="23" t="s">
        <v>289</v>
      </c>
      <c r="E32" s="23" t="s">
        <v>289</v>
      </c>
      <c r="F32" s="23" t="s">
        <v>290</v>
      </c>
      <c r="G32" s="23">
        <v>2026</v>
      </c>
      <c r="H32" s="23" t="s">
        <v>39</v>
      </c>
      <c r="I32" s="23" t="s">
        <v>40</v>
      </c>
      <c r="J32" s="23" t="s">
        <v>291</v>
      </c>
      <c r="K32" s="23"/>
      <c r="L32" s="23" t="s">
        <v>58</v>
      </c>
      <c r="M32" s="23" t="s">
        <v>59</v>
      </c>
      <c r="N32" s="16" t="s">
        <v>292</v>
      </c>
      <c r="O32" s="22"/>
      <c r="P32" s="19" t="s">
        <v>293</v>
      </c>
      <c r="Q32" s="16" t="s">
        <v>145</v>
      </c>
      <c r="R32" s="16" t="s">
        <v>89</v>
      </c>
      <c r="S32" s="16" t="s">
        <v>146</v>
      </c>
      <c r="T32" s="16">
        <v>3014398395</v>
      </c>
      <c r="U32" s="16" t="s">
        <v>294</v>
      </c>
      <c r="V32" s="19" t="s">
        <v>295</v>
      </c>
      <c r="W32">
        <f t="shared" ref="W32:W66" si="4">WEEKNUM(E32)</f>
        <v>30</v>
      </c>
      <c r="X32">
        <f t="shared" ref="X32:X66" si="5">MONTH(E32)</f>
        <v>7</v>
      </c>
      <c r="Y32">
        <f t="shared" ref="Y32:Y66" si="6">YEAR(E32)</f>
        <v>2026</v>
      </c>
      <c r="Z32" t="str">
        <f t="shared" ref="Z32:Z66" si="7">_xlfn.CONCAT(W32,"-",Y32)</f>
        <v>30-2026</v>
      </c>
      <c r="AA32" t="s">
        <v>51</v>
      </c>
      <c r="AB32" t="s">
        <v>296</v>
      </c>
      <c r="AE32" t="s">
        <v>113</v>
      </c>
      <c r="AF32">
        <v>2</v>
      </c>
      <c r="AH32" t="s">
        <v>71</v>
      </c>
    </row>
    <row r="33" spans="1:34" ht="18.95" customHeight="1">
      <c r="A33" s="23">
        <v>3671222</v>
      </c>
      <c r="B33" s="23" t="s">
        <v>287</v>
      </c>
      <c r="C33" s="23" t="s">
        <v>288</v>
      </c>
      <c r="D33" s="23" t="s">
        <v>289</v>
      </c>
      <c r="E33" s="23" t="s">
        <v>289</v>
      </c>
      <c r="F33" s="23" t="s">
        <v>297</v>
      </c>
      <c r="G33" s="23">
        <v>2026</v>
      </c>
      <c r="H33" s="23" t="s">
        <v>39</v>
      </c>
      <c r="I33" s="23" t="s">
        <v>40</v>
      </c>
      <c r="J33" s="23" t="s">
        <v>65</v>
      </c>
      <c r="K33" s="23"/>
      <c r="L33" s="23" t="s">
        <v>58</v>
      </c>
      <c r="M33" s="23" t="s">
        <v>59</v>
      </c>
      <c r="N33" s="16" t="s">
        <v>298</v>
      </c>
      <c r="O33" s="22"/>
      <c r="P33" s="19" t="s">
        <v>299</v>
      </c>
      <c r="Q33" s="16" t="s">
        <v>46</v>
      </c>
      <c r="R33" s="16" t="s">
        <v>47</v>
      </c>
      <c r="S33" s="16" t="s">
        <v>110</v>
      </c>
      <c r="T33" s="16">
        <v>3004550101</v>
      </c>
      <c r="U33" s="16" t="s">
        <v>294</v>
      </c>
      <c r="V33" s="19" t="s">
        <v>300</v>
      </c>
      <c r="W33">
        <f t="shared" si="4"/>
        <v>30</v>
      </c>
      <c r="X33">
        <f t="shared" si="5"/>
        <v>7</v>
      </c>
      <c r="Y33">
        <f t="shared" si="6"/>
        <v>2026</v>
      </c>
      <c r="Z33" t="str">
        <f t="shared" si="7"/>
        <v>30-2026</v>
      </c>
      <c r="AA33" t="s">
        <v>179</v>
      </c>
      <c r="AD33" t="s">
        <v>301</v>
      </c>
      <c r="AE33" t="s">
        <v>53</v>
      </c>
      <c r="AF33">
        <v>2</v>
      </c>
      <c r="AG33" t="s">
        <v>302</v>
      </c>
    </row>
    <row r="34" spans="1:34" ht="18.95" customHeight="1">
      <c r="A34" s="23">
        <v>3671223</v>
      </c>
      <c r="B34" s="23" t="s">
        <v>287</v>
      </c>
      <c r="C34" s="23" t="s">
        <v>288</v>
      </c>
      <c r="D34" s="23" t="s">
        <v>289</v>
      </c>
      <c r="E34" s="23" t="s">
        <v>289</v>
      </c>
      <c r="F34" s="23" t="s">
        <v>303</v>
      </c>
      <c r="G34" s="23">
        <v>2026</v>
      </c>
      <c r="H34" s="23" t="s">
        <v>39</v>
      </c>
      <c r="I34" s="23" t="s">
        <v>40</v>
      </c>
      <c r="J34" s="23" t="s">
        <v>304</v>
      </c>
      <c r="K34" s="23"/>
      <c r="L34" s="23" t="s">
        <v>58</v>
      </c>
      <c r="M34" s="23" t="s">
        <v>59</v>
      </c>
      <c r="N34" s="16" t="s">
        <v>305</v>
      </c>
      <c r="O34" s="22"/>
      <c r="P34" s="19" t="s">
        <v>306</v>
      </c>
      <c r="Q34" s="16" t="s">
        <v>46</v>
      </c>
      <c r="R34" s="16" t="s">
        <v>89</v>
      </c>
      <c r="S34" s="16" t="s">
        <v>48</v>
      </c>
      <c r="T34" s="16">
        <v>3146011459</v>
      </c>
      <c r="U34" s="16" t="s">
        <v>294</v>
      </c>
      <c r="V34" s="19" t="s">
        <v>307</v>
      </c>
      <c r="W34">
        <f t="shared" si="4"/>
        <v>30</v>
      </c>
      <c r="X34">
        <f t="shared" si="5"/>
        <v>7</v>
      </c>
      <c r="Y34">
        <f t="shared" si="6"/>
        <v>2026</v>
      </c>
      <c r="Z34" t="str">
        <f t="shared" si="7"/>
        <v>30-2026</v>
      </c>
      <c r="AA34" t="s">
        <v>51</v>
      </c>
      <c r="AB34" t="s">
        <v>308</v>
      </c>
      <c r="AE34" t="s">
        <v>53</v>
      </c>
      <c r="AF34">
        <v>2</v>
      </c>
      <c r="AG34" t="s">
        <v>309</v>
      </c>
    </row>
    <row r="35" spans="1:34" ht="18.95" customHeight="1">
      <c r="A35" s="23">
        <v>3671230</v>
      </c>
      <c r="B35" s="23" t="s">
        <v>287</v>
      </c>
      <c r="C35" s="23" t="s">
        <v>288</v>
      </c>
      <c r="D35" s="23" t="s">
        <v>289</v>
      </c>
      <c r="E35" s="23" t="s">
        <v>289</v>
      </c>
      <c r="F35" s="23" t="s">
        <v>310</v>
      </c>
      <c r="G35" s="23">
        <v>2026</v>
      </c>
      <c r="H35" s="23" t="s">
        <v>39</v>
      </c>
      <c r="I35" s="23" t="s">
        <v>40</v>
      </c>
      <c r="J35" s="23" t="s">
        <v>311</v>
      </c>
      <c r="K35" s="23"/>
      <c r="L35" s="23" t="s">
        <v>58</v>
      </c>
      <c r="M35" s="23" t="s">
        <v>59</v>
      </c>
      <c r="N35" s="16" t="s">
        <v>312</v>
      </c>
      <c r="O35" s="22"/>
      <c r="P35" s="19" t="s">
        <v>313</v>
      </c>
      <c r="Q35" s="16" t="s">
        <v>145</v>
      </c>
      <c r="R35" s="16" t="s">
        <v>47</v>
      </c>
      <c r="S35" s="16" t="s">
        <v>146</v>
      </c>
      <c r="T35" s="16" t="s">
        <v>314</v>
      </c>
      <c r="U35" s="16" t="s">
        <v>294</v>
      </c>
      <c r="V35" s="19" t="s">
        <v>315</v>
      </c>
      <c r="W35">
        <f t="shared" si="4"/>
        <v>30</v>
      </c>
      <c r="X35">
        <f t="shared" si="5"/>
        <v>7</v>
      </c>
      <c r="Y35">
        <f t="shared" si="6"/>
        <v>2026</v>
      </c>
      <c r="Z35" t="str">
        <f t="shared" si="7"/>
        <v>30-2026</v>
      </c>
      <c r="AA35" t="s">
        <v>51</v>
      </c>
      <c r="AB35" t="s">
        <v>316</v>
      </c>
      <c r="AE35" t="s">
        <v>70</v>
      </c>
      <c r="AF35">
        <v>2</v>
      </c>
      <c r="AH35" t="s">
        <v>94</v>
      </c>
    </row>
    <row r="36" spans="1:34" ht="18.95" customHeight="1">
      <c r="A36" s="23">
        <v>3671239</v>
      </c>
      <c r="B36" s="23" t="s">
        <v>224</v>
      </c>
      <c r="C36" s="23" t="s">
        <v>224</v>
      </c>
      <c r="D36" s="23" t="s">
        <v>289</v>
      </c>
      <c r="E36" s="23" t="s">
        <v>289</v>
      </c>
      <c r="F36" s="23" t="s">
        <v>317</v>
      </c>
      <c r="G36" s="23">
        <v>2026</v>
      </c>
      <c r="H36" s="23" t="s">
        <v>39</v>
      </c>
      <c r="I36" s="23" t="s">
        <v>40</v>
      </c>
      <c r="J36" s="23" t="s">
        <v>318</v>
      </c>
      <c r="K36" s="23"/>
      <c r="L36" s="23" t="s">
        <v>58</v>
      </c>
      <c r="M36" s="23" t="s">
        <v>59</v>
      </c>
      <c r="N36" s="16" t="s">
        <v>319</v>
      </c>
      <c r="O36" s="22"/>
      <c r="P36" s="19" t="s">
        <v>320</v>
      </c>
      <c r="Q36" s="16" t="s">
        <v>145</v>
      </c>
      <c r="R36" s="16" t="s">
        <v>89</v>
      </c>
      <c r="S36" s="16" t="s">
        <v>146</v>
      </c>
      <c r="T36" s="16">
        <v>3124174552</v>
      </c>
      <c r="U36" s="16">
        <v>3124174552</v>
      </c>
      <c r="V36" s="19" t="s">
        <v>321</v>
      </c>
      <c r="W36">
        <f t="shared" si="4"/>
        <v>30</v>
      </c>
      <c r="X36">
        <f t="shared" si="5"/>
        <v>7</v>
      </c>
      <c r="Y36">
        <f t="shared" si="6"/>
        <v>2026</v>
      </c>
      <c r="Z36" t="str">
        <f t="shared" si="7"/>
        <v>30-2026</v>
      </c>
      <c r="AA36" t="s">
        <v>51</v>
      </c>
      <c r="AE36" t="s">
        <v>70</v>
      </c>
      <c r="AF36">
        <v>2</v>
      </c>
      <c r="AH36" t="s">
        <v>71</v>
      </c>
    </row>
    <row r="37" spans="1:34" ht="18.95" customHeight="1">
      <c r="A37" s="23">
        <v>3671241</v>
      </c>
      <c r="B37" s="23" t="s">
        <v>224</v>
      </c>
      <c r="C37" s="23" t="s">
        <v>224</v>
      </c>
      <c r="D37" s="23" t="s">
        <v>289</v>
      </c>
      <c r="E37" s="23" t="s">
        <v>289</v>
      </c>
      <c r="F37" s="23" t="s">
        <v>322</v>
      </c>
      <c r="G37" s="23">
        <v>2026</v>
      </c>
      <c r="H37" s="23" t="s">
        <v>39</v>
      </c>
      <c r="I37" s="23" t="s">
        <v>40</v>
      </c>
      <c r="J37" s="23" t="s">
        <v>323</v>
      </c>
      <c r="K37" s="23"/>
      <c r="L37" s="23" t="s">
        <v>58</v>
      </c>
      <c r="M37" s="23" t="s">
        <v>59</v>
      </c>
      <c r="N37" s="16" t="s">
        <v>324</v>
      </c>
      <c r="O37" s="22"/>
      <c r="P37" s="19" t="s">
        <v>325</v>
      </c>
      <c r="Q37" s="16" t="s">
        <v>145</v>
      </c>
      <c r="R37" s="16" t="s">
        <v>89</v>
      </c>
      <c r="S37" s="16" t="s">
        <v>146</v>
      </c>
      <c r="T37" s="16">
        <v>3151587722</v>
      </c>
      <c r="U37" s="16">
        <v>3114408944</v>
      </c>
      <c r="V37" s="19" t="s">
        <v>326</v>
      </c>
      <c r="W37">
        <f t="shared" si="4"/>
        <v>30</v>
      </c>
      <c r="X37">
        <f t="shared" si="5"/>
        <v>7</v>
      </c>
      <c r="Y37">
        <f t="shared" si="6"/>
        <v>2026</v>
      </c>
      <c r="Z37" t="str">
        <f t="shared" si="7"/>
        <v>30-2026</v>
      </c>
      <c r="AA37" t="s">
        <v>51</v>
      </c>
      <c r="AE37" t="s">
        <v>53</v>
      </c>
      <c r="AF37">
        <v>2</v>
      </c>
      <c r="AG37" t="s">
        <v>327</v>
      </c>
    </row>
    <row r="38" spans="1:34" ht="18.95" customHeight="1">
      <c r="A38" s="23">
        <v>3671242</v>
      </c>
      <c r="B38" s="23" t="s">
        <v>224</v>
      </c>
      <c r="C38" s="23" t="s">
        <v>224</v>
      </c>
      <c r="D38" s="23" t="s">
        <v>289</v>
      </c>
      <c r="E38" s="23" t="s">
        <v>289</v>
      </c>
      <c r="F38" s="23" t="s">
        <v>328</v>
      </c>
      <c r="G38" s="23">
        <v>2026</v>
      </c>
      <c r="H38" s="23" t="s">
        <v>39</v>
      </c>
      <c r="I38" s="23" t="s">
        <v>40</v>
      </c>
      <c r="J38" s="23" t="s">
        <v>329</v>
      </c>
      <c r="K38" s="23"/>
      <c r="L38" s="23" t="s">
        <v>58</v>
      </c>
      <c r="M38" s="23" t="s">
        <v>59</v>
      </c>
      <c r="N38" s="16" t="s">
        <v>330</v>
      </c>
      <c r="O38" s="22"/>
      <c r="P38" s="19" t="s">
        <v>331</v>
      </c>
      <c r="Q38" s="16" t="s">
        <v>46</v>
      </c>
      <c r="R38" s="16" t="s">
        <v>89</v>
      </c>
      <c r="S38" s="16" t="s">
        <v>146</v>
      </c>
      <c r="T38" s="16">
        <v>3123849628</v>
      </c>
      <c r="U38" s="16">
        <v>3213048268</v>
      </c>
      <c r="V38" s="19" t="s">
        <v>332</v>
      </c>
      <c r="W38">
        <f t="shared" si="4"/>
        <v>30</v>
      </c>
      <c r="X38">
        <f t="shared" si="5"/>
        <v>7</v>
      </c>
      <c r="Y38">
        <f t="shared" si="6"/>
        <v>2026</v>
      </c>
      <c r="Z38" t="str">
        <f t="shared" si="7"/>
        <v>30-2026</v>
      </c>
      <c r="AA38" t="s">
        <v>51</v>
      </c>
      <c r="AE38" t="s">
        <v>53</v>
      </c>
      <c r="AF38">
        <v>2</v>
      </c>
      <c r="AG38" t="s">
        <v>327</v>
      </c>
    </row>
    <row r="39" spans="1:34" ht="18.95" customHeight="1">
      <c r="A39" s="23">
        <v>3671243</v>
      </c>
      <c r="B39" s="23" t="s">
        <v>224</v>
      </c>
      <c r="C39" s="23" t="s">
        <v>224</v>
      </c>
      <c r="D39" s="23" t="s">
        <v>289</v>
      </c>
      <c r="E39" s="23" t="s">
        <v>289</v>
      </c>
      <c r="F39" s="23" t="s">
        <v>333</v>
      </c>
      <c r="G39" s="23">
        <v>2026</v>
      </c>
      <c r="H39" s="23" t="s">
        <v>39</v>
      </c>
      <c r="I39" s="23" t="s">
        <v>40</v>
      </c>
      <c r="J39" s="23" t="s">
        <v>334</v>
      </c>
      <c r="K39" s="23"/>
      <c r="L39" s="23" t="s">
        <v>58</v>
      </c>
      <c r="M39" s="23" t="s">
        <v>59</v>
      </c>
      <c r="N39" s="16" t="s">
        <v>335</v>
      </c>
      <c r="O39" s="22"/>
      <c r="P39" s="19" t="s">
        <v>336</v>
      </c>
      <c r="Q39" s="16" t="s">
        <v>145</v>
      </c>
      <c r="R39" s="16" t="s">
        <v>89</v>
      </c>
      <c r="S39" s="16" t="s">
        <v>48</v>
      </c>
      <c r="T39" s="16">
        <v>3144802665</v>
      </c>
      <c r="U39" s="16">
        <v>3144802665</v>
      </c>
      <c r="V39" s="19" t="s">
        <v>337</v>
      </c>
      <c r="W39">
        <f t="shared" si="4"/>
        <v>30</v>
      </c>
      <c r="X39">
        <f t="shared" si="5"/>
        <v>7</v>
      </c>
      <c r="Y39">
        <f t="shared" si="6"/>
        <v>2026</v>
      </c>
      <c r="Z39" t="str">
        <f t="shared" si="7"/>
        <v>30-2026</v>
      </c>
      <c r="AA39" t="s">
        <v>51</v>
      </c>
      <c r="AE39" t="s">
        <v>70</v>
      </c>
      <c r="AF39">
        <v>2</v>
      </c>
      <c r="AH39" t="s">
        <v>94</v>
      </c>
    </row>
    <row r="40" spans="1:34" ht="18.95" customHeight="1">
      <c r="A40" s="23">
        <v>3671245</v>
      </c>
      <c r="B40" s="23" t="s">
        <v>224</v>
      </c>
      <c r="C40" s="23" t="s">
        <v>224</v>
      </c>
      <c r="D40" s="23" t="s">
        <v>289</v>
      </c>
      <c r="E40" s="23" t="s">
        <v>289</v>
      </c>
      <c r="F40" s="23" t="s">
        <v>338</v>
      </c>
      <c r="G40" s="23">
        <v>2026</v>
      </c>
      <c r="H40" s="23" t="s">
        <v>39</v>
      </c>
      <c r="I40" s="23" t="s">
        <v>40</v>
      </c>
      <c r="J40" s="23" t="s">
        <v>339</v>
      </c>
      <c r="K40" s="23"/>
      <c r="L40" s="23" t="s">
        <v>58</v>
      </c>
      <c r="M40" s="23" t="s">
        <v>59</v>
      </c>
      <c r="N40" s="16" t="s">
        <v>340</v>
      </c>
      <c r="O40" s="22"/>
      <c r="P40" s="19" t="s">
        <v>341</v>
      </c>
      <c r="Q40" s="16" t="s">
        <v>81</v>
      </c>
      <c r="R40" s="16" t="s">
        <v>89</v>
      </c>
      <c r="S40" s="16" t="s">
        <v>48</v>
      </c>
      <c r="T40" s="16">
        <v>3168329200</v>
      </c>
      <c r="U40" s="16">
        <v>3168329200</v>
      </c>
      <c r="V40" s="19" t="s">
        <v>342</v>
      </c>
      <c r="W40">
        <f t="shared" si="4"/>
        <v>30</v>
      </c>
      <c r="X40">
        <f t="shared" si="5"/>
        <v>7</v>
      </c>
      <c r="Y40">
        <f t="shared" si="6"/>
        <v>2026</v>
      </c>
      <c r="Z40" t="str">
        <f t="shared" si="7"/>
        <v>30-2026</v>
      </c>
      <c r="AA40" t="s">
        <v>51</v>
      </c>
      <c r="AE40" t="s">
        <v>53</v>
      </c>
      <c r="AF40">
        <v>2</v>
      </c>
      <c r="AG40" t="s">
        <v>327</v>
      </c>
    </row>
    <row r="41" spans="1:34" ht="18.95" customHeight="1">
      <c r="A41" s="23">
        <v>3671253</v>
      </c>
      <c r="B41" s="23" t="s">
        <v>224</v>
      </c>
      <c r="C41" s="23" t="s">
        <v>224</v>
      </c>
      <c r="D41" s="23" t="s">
        <v>289</v>
      </c>
      <c r="E41" s="23" t="s">
        <v>289</v>
      </c>
      <c r="F41" s="23" t="s">
        <v>343</v>
      </c>
      <c r="G41" s="23">
        <v>2026</v>
      </c>
      <c r="H41" s="23" t="s">
        <v>39</v>
      </c>
      <c r="I41" s="23" t="s">
        <v>40</v>
      </c>
      <c r="J41" s="23" t="s">
        <v>344</v>
      </c>
      <c r="K41" s="23"/>
      <c r="L41" s="23" t="s">
        <v>58</v>
      </c>
      <c r="M41" s="23" t="s">
        <v>59</v>
      </c>
      <c r="N41" s="16" t="s">
        <v>345</v>
      </c>
      <c r="O41" s="22"/>
      <c r="P41" s="19" t="s">
        <v>346</v>
      </c>
      <c r="Q41" s="16" t="s">
        <v>145</v>
      </c>
      <c r="R41" s="16" t="s">
        <v>89</v>
      </c>
      <c r="S41" s="16" t="s">
        <v>48</v>
      </c>
      <c r="T41" s="16">
        <v>3105726862</v>
      </c>
      <c r="U41" s="16">
        <v>3105726862</v>
      </c>
      <c r="V41" s="19" t="s">
        <v>347</v>
      </c>
      <c r="W41">
        <f t="shared" si="4"/>
        <v>30</v>
      </c>
      <c r="X41">
        <f t="shared" si="5"/>
        <v>7</v>
      </c>
      <c r="Y41">
        <f t="shared" si="6"/>
        <v>2026</v>
      </c>
      <c r="Z41" t="str">
        <f t="shared" si="7"/>
        <v>30-2026</v>
      </c>
      <c r="AA41" t="s">
        <v>179</v>
      </c>
      <c r="AD41" t="s">
        <v>348</v>
      </c>
      <c r="AE41" t="s">
        <v>53</v>
      </c>
      <c r="AF41">
        <v>2</v>
      </c>
      <c r="AG41" t="s">
        <v>302</v>
      </c>
    </row>
    <row r="42" spans="1:34" ht="18.95" customHeight="1">
      <c r="A42" s="23">
        <v>3676125</v>
      </c>
      <c r="B42" s="23" t="s">
        <v>349</v>
      </c>
      <c r="C42" s="23" t="s">
        <v>350</v>
      </c>
      <c r="D42" s="23" t="s">
        <v>351</v>
      </c>
      <c r="E42" s="23" t="s">
        <v>351</v>
      </c>
      <c r="F42" s="23" t="s">
        <v>352</v>
      </c>
      <c r="G42" s="23">
        <v>2026</v>
      </c>
      <c r="H42" s="23" t="s">
        <v>39</v>
      </c>
      <c r="I42" s="23" t="s">
        <v>40</v>
      </c>
      <c r="J42" s="23" t="s">
        <v>353</v>
      </c>
      <c r="K42" s="23"/>
      <c r="L42" s="23" t="s">
        <v>42</v>
      </c>
      <c r="M42" s="23" t="s">
        <v>43</v>
      </c>
      <c r="N42" s="16" t="s">
        <v>354</v>
      </c>
      <c r="O42" s="22"/>
      <c r="P42" s="19" t="s">
        <v>355</v>
      </c>
      <c r="Q42" s="16" t="s">
        <v>145</v>
      </c>
      <c r="R42" s="16" t="s">
        <v>89</v>
      </c>
      <c r="S42" s="16" t="s">
        <v>146</v>
      </c>
      <c r="T42" s="16">
        <v>3160181684</v>
      </c>
      <c r="U42" s="16" t="s">
        <v>356</v>
      </c>
      <c r="V42" s="19" t="s">
        <v>357</v>
      </c>
      <c r="W42">
        <f t="shared" si="4"/>
        <v>30</v>
      </c>
      <c r="X42">
        <f t="shared" si="5"/>
        <v>7</v>
      </c>
      <c r="Y42">
        <f t="shared" si="6"/>
        <v>2026</v>
      </c>
      <c r="Z42" t="str">
        <f t="shared" si="7"/>
        <v>30-2026</v>
      </c>
      <c r="AA42" t="s">
        <v>51</v>
      </c>
      <c r="AE42" t="s">
        <v>53</v>
      </c>
      <c r="AF42">
        <v>2</v>
      </c>
    </row>
    <row r="43" spans="1:34" ht="18.95" customHeight="1">
      <c r="A43" s="23">
        <v>3676210</v>
      </c>
      <c r="B43" s="23" t="s">
        <v>358</v>
      </c>
      <c r="C43" s="23" t="s">
        <v>359</v>
      </c>
      <c r="D43" s="23" t="s">
        <v>351</v>
      </c>
      <c r="E43" s="23" t="s">
        <v>351</v>
      </c>
      <c r="F43" s="23" t="s">
        <v>360</v>
      </c>
      <c r="G43" s="23">
        <v>2026</v>
      </c>
      <c r="H43" s="23" t="s">
        <v>39</v>
      </c>
      <c r="I43" s="23" t="s">
        <v>40</v>
      </c>
      <c r="J43" s="23" t="s">
        <v>361</v>
      </c>
      <c r="K43" s="23"/>
      <c r="L43" s="23" t="s">
        <v>58</v>
      </c>
      <c r="M43" s="23" t="s">
        <v>59</v>
      </c>
      <c r="N43" s="16" t="s">
        <v>362</v>
      </c>
      <c r="O43" s="22"/>
      <c r="P43" s="19" t="s">
        <v>363</v>
      </c>
      <c r="Q43" s="16" t="s">
        <v>46</v>
      </c>
      <c r="R43" s="16" t="s">
        <v>89</v>
      </c>
      <c r="S43" s="16" t="s">
        <v>48</v>
      </c>
      <c r="T43" s="16" t="s">
        <v>364</v>
      </c>
      <c r="U43" s="16" t="s">
        <v>365</v>
      </c>
      <c r="V43" s="19" t="s">
        <v>366</v>
      </c>
      <c r="W43">
        <f t="shared" si="4"/>
        <v>30</v>
      </c>
      <c r="X43">
        <f t="shared" si="5"/>
        <v>7</v>
      </c>
      <c r="Y43">
        <f t="shared" si="6"/>
        <v>2026</v>
      </c>
      <c r="Z43" t="str">
        <f t="shared" si="7"/>
        <v>30-2026</v>
      </c>
      <c r="AA43" t="s">
        <v>51</v>
      </c>
      <c r="AE43" t="s">
        <v>113</v>
      </c>
      <c r="AF43">
        <v>2</v>
      </c>
      <c r="AH43" t="s">
        <v>71</v>
      </c>
    </row>
    <row r="44" spans="1:34" ht="18.95" customHeight="1">
      <c r="A44" s="23">
        <v>3676236</v>
      </c>
      <c r="B44" s="23" t="s">
        <v>367</v>
      </c>
      <c r="C44" s="23" t="s">
        <v>368</v>
      </c>
      <c r="D44" s="23" t="s">
        <v>351</v>
      </c>
      <c r="E44" s="23" t="s">
        <v>351</v>
      </c>
      <c r="F44" s="23" t="s">
        <v>369</v>
      </c>
      <c r="G44" s="23">
        <v>2026</v>
      </c>
      <c r="H44" s="23" t="s">
        <v>39</v>
      </c>
      <c r="I44" s="23" t="s">
        <v>40</v>
      </c>
      <c r="J44" s="23" t="s">
        <v>370</v>
      </c>
      <c r="K44" s="23"/>
      <c r="L44" s="23" t="s">
        <v>58</v>
      </c>
      <c r="M44" s="23" t="s">
        <v>59</v>
      </c>
      <c r="N44" s="16" t="s">
        <v>371</v>
      </c>
      <c r="O44" s="22"/>
      <c r="P44" s="19" t="s">
        <v>372</v>
      </c>
      <c r="Q44" s="16" t="s">
        <v>145</v>
      </c>
      <c r="R44" s="16" t="s">
        <v>89</v>
      </c>
      <c r="S44" s="16" t="s">
        <v>48</v>
      </c>
      <c r="T44" s="16">
        <v>3102267246</v>
      </c>
      <c r="U44" s="16" t="s">
        <v>122</v>
      </c>
      <c r="V44" s="19" t="s">
        <v>373</v>
      </c>
      <c r="W44">
        <f t="shared" si="4"/>
        <v>30</v>
      </c>
      <c r="X44">
        <f t="shared" si="5"/>
        <v>7</v>
      </c>
      <c r="Y44">
        <f t="shared" si="6"/>
        <v>2026</v>
      </c>
      <c r="Z44" t="str">
        <f t="shared" si="7"/>
        <v>30-2026</v>
      </c>
      <c r="AA44" t="s">
        <v>51</v>
      </c>
      <c r="AE44" t="s">
        <v>70</v>
      </c>
      <c r="AF44">
        <v>2</v>
      </c>
      <c r="AH44" t="s">
        <v>71</v>
      </c>
    </row>
    <row r="45" spans="1:34" ht="18.95" customHeight="1">
      <c r="A45" s="23">
        <v>3676247</v>
      </c>
      <c r="B45" s="23" t="s">
        <v>35</v>
      </c>
      <c r="C45" s="23" t="s">
        <v>36</v>
      </c>
      <c r="D45" s="23" t="s">
        <v>351</v>
      </c>
      <c r="E45" s="23" t="s">
        <v>351</v>
      </c>
      <c r="F45" s="23" t="s">
        <v>374</v>
      </c>
      <c r="G45" s="23">
        <v>2026</v>
      </c>
      <c r="H45" s="23" t="s">
        <v>39</v>
      </c>
      <c r="I45" s="23" t="s">
        <v>40</v>
      </c>
      <c r="J45" s="23" t="s">
        <v>375</v>
      </c>
      <c r="K45" s="23" t="s">
        <v>376</v>
      </c>
      <c r="L45" s="23" t="s">
        <v>42</v>
      </c>
      <c r="M45" s="23" t="s">
        <v>43</v>
      </c>
      <c r="N45" s="16" t="s">
        <v>377</v>
      </c>
      <c r="O45" s="22"/>
      <c r="P45" s="19" t="s">
        <v>378</v>
      </c>
      <c r="Q45" s="16" t="s">
        <v>46</v>
      </c>
      <c r="R45" s="16" t="s">
        <v>47</v>
      </c>
      <c r="S45" s="16" t="s">
        <v>110</v>
      </c>
      <c r="T45" s="16">
        <v>3209500506</v>
      </c>
      <c r="U45" s="16" t="s">
        <v>379</v>
      </c>
      <c r="V45" s="19" t="s">
        <v>380</v>
      </c>
      <c r="W45">
        <f t="shared" si="4"/>
        <v>30</v>
      </c>
      <c r="X45">
        <f t="shared" si="5"/>
        <v>7</v>
      </c>
      <c r="Y45">
        <f t="shared" si="6"/>
        <v>2026</v>
      </c>
      <c r="Z45" t="str">
        <f t="shared" si="7"/>
        <v>30-2026</v>
      </c>
      <c r="AA45" t="s">
        <v>51</v>
      </c>
      <c r="AE45" t="s">
        <v>53</v>
      </c>
      <c r="AF45">
        <v>2</v>
      </c>
    </row>
    <row r="46" spans="1:34" ht="18.95" customHeight="1">
      <c r="A46" s="23">
        <v>3676328</v>
      </c>
      <c r="B46" s="23" t="s">
        <v>381</v>
      </c>
      <c r="C46" s="23" t="s">
        <v>382</v>
      </c>
      <c r="D46" s="23" t="s">
        <v>351</v>
      </c>
      <c r="E46" s="23" t="s">
        <v>351</v>
      </c>
      <c r="F46" s="23" t="s">
        <v>383</v>
      </c>
      <c r="G46" s="23">
        <v>2026</v>
      </c>
      <c r="H46" s="23" t="s">
        <v>39</v>
      </c>
      <c r="I46" s="23" t="s">
        <v>40</v>
      </c>
      <c r="J46" s="23" t="s">
        <v>384</v>
      </c>
      <c r="K46" s="23"/>
      <c r="L46" s="23" t="s">
        <v>42</v>
      </c>
      <c r="M46" s="23" t="s">
        <v>43</v>
      </c>
      <c r="N46" s="16" t="s">
        <v>385</v>
      </c>
      <c r="O46" s="22"/>
      <c r="P46" s="19" t="s">
        <v>386</v>
      </c>
      <c r="Q46" s="16" t="s">
        <v>81</v>
      </c>
      <c r="R46" s="16" t="s">
        <v>89</v>
      </c>
      <c r="S46" s="16" t="s">
        <v>90</v>
      </c>
      <c r="T46" s="16" t="s">
        <v>387</v>
      </c>
      <c r="U46" s="16" t="s">
        <v>388</v>
      </c>
      <c r="V46" s="19" t="s">
        <v>389</v>
      </c>
      <c r="W46">
        <f t="shared" si="4"/>
        <v>30</v>
      </c>
      <c r="X46">
        <f t="shared" si="5"/>
        <v>7</v>
      </c>
      <c r="Y46">
        <f t="shared" si="6"/>
        <v>2026</v>
      </c>
      <c r="Z46" t="str">
        <f t="shared" si="7"/>
        <v>30-2026</v>
      </c>
      <c r="AA46" t="s">
        <v>51</v>
      </c>
      <c r="AE46" t="s">
        <v>53</v>
      </c>
      <c r="AF46">
        <v>2</v>
      </c>
    </row>
    <row r="47" spans="1:34" ht="18.95" customHeight="1">
      <c r="A47" s="23">
        <v>3676345</v>
      </c>
      <c r="B47" s="23" t="s">
        <v>381</v>
      </c>
      <c r="C47" s="23" t="s">
        <v>382</v>
      </c>
      <c r="D47" s="23" t="s">
        <v>351</v>
      </c>
      <c r="E47" s="23" t="s">
        <v>351</v>
      </c>
      <c r="F47" s="23" t="s">
        <v>390</v>
      </c>
      <c r="G47" s="23">
        <v>2026</v>
      </c>
      <c r="H47" s="23" t="s">
        <v>39</v>
      </c>
      <c r="I47" s="23" t="s">
        <v>40</v>
      </c>
      <c r="J47" s="23" t="s">
        <v>391</v>
      </c>
      <c r="K47" s="23"/>
      <c r="L47" s="23" t="s">
        <v>42</v>
      </c>
      <c r="M47" s="23" t="s">
        <v>43</v>
      </c>
      <c r="N47" s="16" t="s">
        <v>392</v>
      </c>
      <c r="O47" s="22"/>
      <c r="P47" s="16" t="s">
        <v>393</v>
      </c>
      <c r="Q47" s="16" t="s">
        <v>46</v>
      </c>
      <c r="R47" s="16" t="s">
        <v>47</v>
      </c>
      <c r="S47" s="16" t="s">
        <v>146</v>
      </c>
      <c r="T47" s="16" t="s">
        <v>394</v>
      </c>
      <c r="U47" s="16" t="s">
        <v>395</v>
      </c>
      <c r="V47" s="19" t="s">
        <v>396</v>
      </c>
      <c r="W47">
        <f t="shared" si="4"/>
        <v>30</v>
      </c>
      <c r="X47">
        <f t="shared" si="5"/>
        <v>7</v>
      </c>
      <c r="Y47">
        <f t="shared" si="6"/>
        <v>2026</v>
      </c>
      <c r="Z47" t="str">
        <f t="shared" si="7"/>
        <v>30-2026</v>
      </c>
      <c r="AA47" t="s">
        <v>51</v>
      </c>
      <c r="AE47" t="s">
        <v>70</v>
      </c>
      <c r="AF47">
        <v>2</v>
      </c>
      <c r="AH47" t="s">
        <v>170</v>
      </c>
    </row>
    <row r="48" spans="1:34" ht="18.95" customHeight="1">
      <c r="A48" s="23">
        <v>3676323</v>
      </c>
      <c r="B48" s="23" t="s">
        <v>349</v>
      </c>
      <c r="C48" s="23" t="s">
        <v>350</v>
      </c>
      <c r="D48" s="23" t="s">
        <v>351</v>
      </c>
      <c r="E48" s="23" t="s">
        <v>351</v>
      </c>
      <c r="F48" s="23" t="s">
        <v>397</v>
      </c>
      <c r="G48" s="23">
        <v>2026</v>
      </c>
      <c r="H48" s="23" t="s">
        <v>39</v>
      </c>
      <c r="I48" s="23" t="s">
        <v>40</v>
      </c>
      <c r="J48" s="23" t="s">
        <v>398</v>
      </c>
      <c r="K48" s="23"/>
      <c r="L48" s="23" t="s">
        <v>42</v>
      </c>
      <c r="M48" s="23" t="s">
        <v>43</v>
      </c>
      <c r="N48" s="16" t="s">
        <v>399</v>
      </c>
      <c r="O48" s="22"/>
      <c r="P48" s="16" t="s">
        <v>400</v>
      </c>
      <c r="Q48" s="16" t="s">
        <v>46</v>
      </c>
      <c r="R48" s="16" t="s">
        <v>47</v>
      </c>
      <c r="S48" s="16" t="s">
        <v>48</v>
      </c>
      <c r="T48" s="16" t="s">
        <v>401</v>
      </c>
      <c r="U48" s="16" t="s">
        <v>402</v>
      </c>
      <c r="V48" s="19" t="s">
        <v>403</v>
      </c>
      <c r="W48">
        <f t="shared" si="4"/>
        <v>30</v>
      </c>
      <c r="X48">
        <f t="shared" si="5"/>
        <v>7</v>
      </c>
      <c r="Y48">
        <f t="shared" si="6"/>
        <v>2026</v>
      </c>
      <c r="Z48" t="str">
        <f t="shared" si="7"/>
        <v>30-2026</v>
      </c>
      <c r="AA48" t="s">
        <v>51</v>
      </c>
      <c r="AE48" t="s">
        <v>53</v>
      </c>
      <c r="AF48">
        <v>2</v>
      </c>
    </row>
    <row r="49" spans="1:34" ht="18.95" customHeight="1">
      <c r="A49" s="23">
        <v>3679961</v>
      </c>
      <c r="B49" s="23" t="s">
        <v>404</v>
      </c>
      <c r="C49" s="23"/>
      <c r="D49" s="23" t="s">
        <v>405</v>
      </c>
      <c r="E49" s="23" t="s">
        <v>405</v>
      </c>
      <c r="F49" s="23" t="s">
        <v>406</v>
      </c>
      <c r="G49" s="23">
        <v>2026</v>
      </c>
      <c r="H49" s="23" t="s">
        <v>39</v>
      </c>
      <c r="I49" s="23" t="s">
        <v>40</v>
      </c>
      <c r="J49" s="23" t="s">
        <v>407</v>
      </c>
      <c r="K49" s="23"/>
      <c r="L49" s="23" t="s">
        <v>58</v>
      </c>
      <c r="M49" s="23" t="s">
        <v>59</v>
      </c>
      <c r="N49" s="25" t="s">
        <v>408</v>
      </c>
      <c r="O49" s="22" t="s">
        <v>409</v>
      </c>
      <c r="P49" s="19" t="s">
        <v>410</v>
      </c>
      <c r="Q49" s="16" t="s">
        <v>145</v>
      </c>
      <c r="R49" s="16" t="s">
        <v>47</v>
      </c>
      <c r="S49" s="16" t="s">
        <v>146</v>
      </c>
      <c r="T49" s="16">
        <v>3212818265</v>
      </c>
      <c r="U49" s="16">
        <v>3214550461</v>
      </c>
      <c r="V49" s="19" t="s">
        <v>411</v>
      </c>
      <c r="W49">
        <f t="shared" si="4"/>
        <v>30</v>
      </c>
      <c r="X49">
        <f t="shared" si="5"/>
        <v>7</v>
      </c>
      <c r="Y49">
        <f t="shared" si="6"/>
        <v>2026</v>
      </c>
      <c r="Z49" t="str">
        <f t="shared" si="7"/>
        <v>30-2026</v>
      </c>
      <c r="AA49" t="s">
        <v>51</v>
      </c>
      <c r="AE49" t="s">
        <v>53</v>
      </c>
      <c r="AF49">
        <v>2</v>
      </c>
    </row>
    <row r="50" spans="1:34" ht="18.95" customHeight="1">
      <c r="A50" s="23">
        <v>3679980</v>
      </c>
      <c r="B50" s="23" t="s">
        <v>404</v>
      </c>
      <c r="C50" s="23"/>
      <c r="D50" s="23" t="s">
        <v>405</v>
      </c>
      <c r="E50" s="23" t="s">
        <v>405</v>
      </c>
      <c r="F50" s="23" t="s">
        <v>412</v>
      </c>
      <c r="G50" s="23">
        <v>2026</v>
      </c>
      <c r="H50" s="23" t="s">
        <v>39</v>
      </c>
      <c r="I50" s="23" t="s">
        <v>40</v>
      </c>
      <c r="J50" s="23" t="s">
        <v>413</v>
      </c>
      <c r="K50" s="23"/>
      <c r="L50" s="23" t="s">
        <v>58</v>
      </c>
      <c r="M50" s="23" t="s">
        <v>59</v>
      </c>
      <c r="N50" s="25" t="s">
        <v>414</v>
      </c>
      <c r="O50" s="22" t="s">
        <v>409</v>
      </c>
      <c r="P50" s="19" t="s">
        <v>415</v>
      </c>
      <c r="Q50" s="16" t="s">
        <v>81</v>
      </c>
      <c r="R50" s="16" t="s">
        <v>89</v>
      </c>
      <c r="S50" s="16" t="s">
        <v>416</v>
      </c>
      <c r="T50" s="16">
        <v>3144553626</v>
      </c>
      <c r="U50" s="16" t="s">
        <v>417</v>
      </c>
      <c r="V50" s="19" t="s">
        <v>418</v>
      </c>
      <c r="W50">
        <f t="shared" si="4"/>
        <v>30</v>
      </c>
      <c r="X50">
        <f t="shared" si="5"/>
        <v>7</v>
      </c>
      <c r="Y50">
        <f t="shared" si="6"/>
        <v>2026</v>
      </c>
      <c r="Z50" t="str">
        <f t="shared" si="7"/>
        <v>30-2026</v>
      </c>
      <c r="AA50" t="s">
        <v>51</v>
      </c>
      <c r="AE50" t="s">
        <v>53</v>
      </c>
      <c r="AF50">
        <v>2</v>
      </c>
    </row>
    <row r="51" spans="1:34" ht="18.95" customHeight="1">
      <c r="A51" s="23">
        <v>3679984</v>
      </c>
      <c r="B51" s="23" t="s">
        <v>404</v>
      </c>
      <c r="C51" s="23"/>
      <c r="D51" s="23" t="s">
        <v>405</v>
      </c>
      <c r="E51" s="23" t="s">
        <v>405</v>
      </c>
      <c r="F51" s="23" t="s">
        <v>419</v>
      </c>
      <c r="G51" s="23">
        <v>2026</v>
      </c>
      <c r="H51" s="23" t="s">
        <v>39</v>
      </c>
      <c r="I51" s="23" t="s">
        <v>40</v>
      </c>
      <c r="J51" s="23" t="s">
        <v>420</v>
      </c>
      <c r="K51" s="23"/>
      <c r="L51" s="23" t="s">
        <v>58</v>
      </c>
      <c r="M51" s="23" t="s">
        <v>59</v>
      </c>
      <c r="N51" s="25" t="s">
        <v>421</v>
      </c>
      <c r="O51" s="22" t="s">
        <v>409</v>
      </c>
      <c r="P51" s="19" t="s">
        <v>422</v>
      </c>
      <c r="Q51" s="16" t="s">
        <v>81</v>
      </c>
      <c r="R51" s="16" t="s">
        <v>47</v>
      </c>
      <c r="S51" s="16" t="s">
        <v>416</v>
      </c>
      <c r="T51" s="16">
        <v>3118109385</v>
      </c>
      <c r="U51" s="16" t="s">
        <v>423</v>
      </c>
      <c r="V51" s="19" t="s">
        <v>424</v>
      </c>
      <c r="W51">
        <f t="shared" si="4"/>
        <v>30</v>
      </c>
      <c r="X51">
        <f t="shared" si="5"/>
        <v>7</v>
      </c>
      <c r="Y51">
        <f t="shared" si="6"/>
        <v>2026</v>
      </c>
      <c r="Z51" t="str">
        <f t="shared" si="7"/>
        <v>30-2026</v>
      </c>
      <c r="AA51" t="s">
        <v>51</v>
      </c>
      <c r="AE51" t="s">
        <v>70</v>
      </c>
      <c r="AF51">
        <v>2</v>
      </c>
      <c r="AH51" t="s">
        <v>94</v>
      </c>
    </row>
    <row r="52" spans="1:34" ht="18.95" customHeight="1">
      <c r="A52" s="23">
        <v>3680011</v>
      </c>
      <c r="B52" s="23" t="s">
        <v>425</v>
      </c>
      <c r="C52" s="23" t="s">
        <v>426</v>
      </c>
      <c r="D52" s="23" t="s">
        <v>405</v>
      </c>
      <c r="E52" s="23" t="s">
        <v>405</v>
      </c>
      <c r="F52" s="23" t="s">
        <v>427</v>
      </c>
      <c r="G52" s="23">
        <v>2026</v>
      </c>
      <c r="H52" s="23" t="s">
        <v>39</v>
      </c>
      <c r="I52" s="23" t="s">
        <v>40</v>
      </c>
      <c r="J52" s="23" t="s">
        <v>428</v>
      </c>
      <c r="K52" s="23"/>
      <c r="L52" s="23" t="s">
        <v>58</v>
      </c>
      <c r="M52" s="23" t="s">
        <v>59</v>
      </c>
      <c r="N52" s="25"/>
      <c r="O52" s="22" t="s">
        <v>409</v>
      </c>
      <c r="P52" s="19" t="s">
        <v>429</v>
      </c>
      <c r="Q52" s="16" t="s">
        <v>46</v>
      </c>
      <c r="R52" s="16" t="s">
        <v>47</v>
      </c>
      <c r="S52" s="16" t="s">
        <v>48</v>
      </c>
      <c r="T52" s="16" t="s">
        <v>430</v>
      </c>
      <c r="U52" s="16" t="s">
        <v>431</v>
      </c>
      <c r="V52" s="19" t="s">
        <v>432</v>
      </c>
      <c r="W52">
        <f t="shared" si="4"/>
        <v>30</v>
      </c>
      <c r="X52">
        <f t="shared" si="5"/>
        <v>7</v>
      </c>
      <c r="Y52">
        <f t="shared" si="6"/>
        <v>2026</v>
      </c>
      <c r="Z52" t="str">
        <f t="shared" si="7"/>
        <v>30-2026</v>
      </c>
      <c r="AA52" t="s">
        <v>51</v>
      </c>
      <c r="AE52" t="s">
        <v>113</v>
      </c>
      <c r="AF52">
        <v>2</v>
      </c>
      <c r="AH52" t="s">
        <v>170</v>
      </c>
    </row>
    <row r="53" spans="1:34" ht="18.95" customHeight="1">
      <c r="A53" s="23">
        <v>3680024</v>
      </c>
      <c r="B53" s="23" t="s">
        <v>95</v>
      </c>
      <c r="C53" s="23" t="s">
        <v>96</v>
      </c>
      <c r="D53" s="23" t="s">
        <v>405</v>
      </c>
      <c r="E53" s="23" t="s">
        <v>405</v>
      </c>
      <c r="F53" s="23" t="s">
        <v>433</v>
      </c>
      <c r="G53" s="23">
        <v>2026</v>
      </c>
      <c r="H53" s="23" t="s">
        <v>39</v>
      </c>
      <c r="I53" s="23" t="s">
        <v>40</v>
      </c>
      <c r="J53" s="23" t="s">
        <v>434</v>
      </c>
      <c r="K53" s="23"/>
      <c r="L53" s="23" t="s">
        <v>77</v>
      </c>
      <c r="M53" s="23" t="s">
        <v>78</v>
      </c>
      <c r="N53" s="25" t="s">
        <v>435</v>
      </c>
      <c r="O53" s="22" t="s">
        <v>436</v>
      </c>
      <c r="P53" s="19" t="s">
        <v>437</v>
      </c>
      <c r="Q53" s="16" t="s">
        <v>46</v>
      </c>
      <c r="R53" s="16" t="s">
        <v>89</v>
      </c>
      <c r="S53" s="16" t="s">
        <v>438</v>
      </c>
      <c r="T53" s="16">
        <v>3137456421</v>
      </c>
      <c r="U53" s="16" t="s">
        <v>253</v>
      </c>
      <c r="V53" s="19" t="s">
        <v>439</v>
      </c>
      <c r="W53">
        <f t="shared" si="4"/>
        <v>30</v>
      </c>
      <c r="X53">
        <f t="shared" si="5"/>
        <v>7</v>
      </c>
      <c r="Y53">
        <f t="shared" si="6"/>
        <v>2026</v>
      </c>
      <c r="Z53" t="str">
        <f t="shared" si="7"/>
        <v>30-2026</v>
      </c>
      <c r="AA53" t="s">
        <v>51</v>
      </c>
      <c r="AE53" t="s">
        <v>113</v>
      </c>
      <c r="AF53">
        <v>2</v>
      </c>
      <c r="AH53" t="s">
        <v>170</v>
      </c>
    </row>
    <row r="54" spans="1:34" ht="18.95" customHeight="1">
      <c r="A54" s="23">
        <v>3680050</v>
      </c>
      <c r="B54" s="23" t="s">
        <v>425</v>
      </c>
      <c r="C54" s="23" t="s">
        <v>426</v>
      </c>
      <c r="D54" s="23" t="s">
        <v>405</v>
      </c>
      <c r="E54" s="23" t="s">
        <v>405</v>
      </c>
      <c r="F54" s="23" t="s">
        <v>440</v>
      </c>
      <c r="G54" s="23">
        <v>2026</v>
      </c>
      <c r="H54" s="23" t="s">
        <v>39</v>
      </c>
      <c r="I54" s="23" t="s">
        <v>40</v>
      </c>
      <c r="J54" s="23" t="s">
        <v>441</v>
      </c>
      <c r="K54" s="23"/>
      <c r="L54" s="23" t="s">
        <v>58</v>
      </c>
      <c r="M54" s="23" t="s">
        <v>59</v>
      </c>
      <c r="N54" s="25" t="s">
        <v>442</v>
      </c>
      <c r="O54" s="22" t="s">
        <v>409</v>
      </c>
      <c r="P54" s="19" t="s">
        <v>443</v>
      </c>
      <c r="Q54" s="16" t="s">
        <v>46</v>
      </c>
      <c r="R54" s="16" t="s">
        <v>47</v>
      </c>
      <c r="S54" s="16" t="s">
        <v>48</v>
      </c>
      <c r="T54" s="16">
        <v>3213475722</v>
      </c>
      <c r="U54" s="16">
        <v>3057995626</v>
      </c>
      <c r="V54" s="19" t="s">
        <v>444</v>
      </c>
      <c r="W54">
        <f t="shared" si="4"/>
        <v>30</v>
      </c>
      <c r="X54">
        <f t="shared" si="5"/>
        <v>7</v>
      </c>
      <c r="Y54">
        <f t="shared" si="6"/>
        <v>2026</v>
      </c>
      <c r="Z54" t="str">
        <f t="shared" si="7"/>
        <v>30-2026</v>
      </c>
      <c r="AA54" t="s">
        <v>51</v>
      </c>
      <c r="AB54" t="s">
        <v>445</v>
      </c>
      <c r="AE54" t="s">
        <v>113</v>
      </c>
      <c r="AF54">
        <v>2</v>
      </c>
      <c r="AH54" t="s">
        <v>170</v>
      </c>
    </row>
    <row r="55" spans="1:34" ht="18.95" customHeight="1">
      <c r="A55" s="23">
        <v>3680054</v>
      </c>
      <c r="B55" s="23" t="s">
        <v>425</v>
      </c>
      <c r="C55" s="23" t="s">
        <v>426</v>
      </c>
      <c r="D55" s="23" t="s">
        <v>405</v>
      </c>
      <c r="E55" s="23" t="s">
        <v>405</v>
      </c>
      <c r="F55" s="23" t="s">
        <v>446</v>
      </c>
      <c r="G55" s="23">
        <v>2026</v>
      </c>
      <c r="H55" s="23" t="s">
        <v>39</v>
      </c>
      <c r="I55" s="23" t="s">
        <v>40</v>
      </c>
      <c r="J55" s="23" t="s">
        <v>447</v>
      </c>
      <c r="K55" s="23"/>
      <c r="L55" s="23" t="s">
        <v>58</v>
      </c>
      <c r="M55" s="23" t="s">
        <v>59</v>
      </c>
      <c r="N55" s="25" t="s">
        <v>448</v>
      </c>
      <c r="O55" s="22" t="s">
        <v>409</v>
      </c>
      <c r="P55" s="19" t="s">
        <v>449</v>
      </c>
      <c r="Q55" s="16" t="s">
        <v>145</v>
      </c>
      <c r="R55" s="16" t="s">
        <v>47</v>
      </c>
      <c r="S55" s="16" t="s">
        <v>146</v>
      </c>
      <c r="T55" s="16">
        <v>3143704135</v>
      </c>
      <c r="U55" s="16" t="s">
        <v>450</v>
      </c>
      <c r="V55" s="19" t="s">
        <v>451</v>
      </c>
      <c r="W55">
        <f t="shared" si="4"/>
        <v>30</v>
      </c>
      <c r="X55">
        <f t="shared" si="5"/>
        <v>7</v>
      </c>
      <c r="Y55">
        <f t="shared" si="6"/>
        <v>2026</v>
      </c>
      <c r="Z55" t="str">
        <f t="shared" si="7"/>
        <v>30-2026</v>
      </c>
      <c r="AA55" t="s">
        <v>51</v>
      </c>
      <c r="AB55" t="s">
        <v>452</v>
      </c>
      <c r="AE55" t="s">
        <v>113</v>
      </c>
      <c r="AF55">
        <v>2</v>
      </c>
      <c r="AH55" t="s">
        <v>71</v>
      </c>
    </row>
    <row r="56" spans="1:34" ht="18.95" customHeight="1">
      <c r="A56" s="23">
        <v>3680055</v>
      </c>
      <c r="B56" s="23" t="s">
        <v>425</v>
      </c>
      <c r="C56" s="23" t="s">
        <v>426</v>
      </c>
      <c r="D56" s="23" t="s">
        <v>405</v>
      </c>
      <c r="E56" s="23" t="s">
        <v>405</v>
      </c>
      <c r="F56" s="23" t="s">
        <v>453</v>
      </c>
      <c r="G56" s="23">
        <v>2026</v>
      </c>
      <c r="H56" s="23" t="s">
        <v>39</v>
      </c>
      <c r="I56" s="23" t="s">
        <v>40</v>
      </c>
      <c r="J56" s="23" t="s">
        <v>454</v>
      </c>
      <c r="K56" s="23"/>
      <c r="L56" s="23" t="s">
        <v>58</v>
      </c>
      <c r="M56" s="23" t="s">
        <v>59</v>
      </c>
      <c r="N56" s="25" t="s">
        <v>455</v>
      </c>
      <c r="O56" s="22" t="s">
        <v>456</v>
      </c>
      <c r="P56" s="19" t="s">
        <v>457</v>
      </c>
      <c r="Q56" s="16" t="s">
        <v>145</v>
      </c>
      <c r="R56" s="16" t="s">
        <v>47</v>
      </c>
      <c r="S56" s="16" t="s">
        <v>146</v>
      </c>
      <c r="T56" s="16">
        <v>3154965337</v>
      </c>
      <c r="U56" s="16" t="s">
        <v>450</v>
      </c>
      <c r="V56" s="19" t="s">
        <v>458</v>
      </c>
      <c r="W56">
        <f t="shared" si="4"/>
        <v>30</v>
      </c>
      <c r="X56">
        <f t="shared" si="5"/>
        <v>7</v>
      </c>
      <c r="Y56">
        <f t="shared" si="6"/>
        <v>2026</v>
      </c>
      <c r="Z56" t="str">
        <f t="shared" si="7"/>
        <v>30-2026</v>
      </c>
      <c r="AA56" t="s">
        <v>51</v>
      </c>
      <c r="AB56" t="s">
        <v>459</v>
      </c>
      <c r="AE56" t="s">
        <v>113</v>
      </c>
      <c r="AF56">
        <v>2</v>
      </c>
      <c r="AH56" t="s">
        <v>170</v>
      </c>
    </row>
    <row r="57" spans="1:34" ht="18.95" customHeight="1">
      <c r="A57" s="23">
        <v>3679995</v>
      </c>
      <c r="B57" s="23" t="s">
        <v>404</v>
      </c>
      <c r="C57" s="23"/>
      <c r="D57" s="23" t="s">
        <v>405</v>
      </c>
      <c r="E57" s="23" t="s">
        <v>405</v>
      </c>
      <c r="F57" s="23" t="s">
        <v>460</v>
      </c>
      <c r="G57" s="23">
        <v>2026</v>
      </c>
      <c r="H57" s="23" t="s">
        <v>39</v>
      </c>
      <c r="I57" s="23" t="s">
        <v>40</v>
      </c>
      <c r="J57" s="23" t="s">
        <v>461</v>
      </c>
      <c r="K57" s="23"/>
      <c r="L57" s="23" t="s">
        <v>58</v>
      </c>
      <c r="M57" s="23" t="s">
        <v>59</v>
      </c>
      <c r="N57" s="25" t="s">
        <v>462</v>
      </c>
      <c r="O57" s="22" t="s">
        <v>409</v>
      </c>
      <c r="P57" s="19" t="s">
        <v>463</v>
      </c>
      <c r="Q57" s="16" t="s">
        <v>145</v>
      </c>
      <c r="R57" s="16" t="s">
        <v>47</v>
      </c>
      <c r="S57" s="16" t="s">
        <v>146</v>
      </c>
      <c r="T57" s="16">
        <v>3132969330</v>
      </c>
      <c r="U57" s="16" t="s">
        <v>464</v>
      </c>
      <c r="V57" s="19" t="s">
        <v>465</v>
      </c>
      <c r="W57">
        <f t="shared" si="4"/>
        <v>30</v>
      </c>
      <c r="X57">
        <f t="shared" si="5"/>
        <v>7</v>
      </c>
      <c r="Y57">
        <f t="shared" si="6"/>
        <v>2026</v>
      </c>
      <c r="Z57" t="str">
        <f t="shared" si="7"/>
        <v>30-2026</v>
      </c>
      <c r="AA57" t="s">
        <v>51</v>
      </c>
      <c r="AB57" t="s">
        <v>466</v>
      </c>
      <c r="AE57" t="s">
        <v>113</v>
      </c>
      <c r="AF57">
        <v>2</v>
      </c>
      <c r="AH57" t="s">
        <v>71</v>
      </c>
    </row>
    <row r="58" spans="1:34" ht="18.95" customHeight="1">
      <c r="A58" s="23">
        <v>3683298</v>
      </c>
      <c r="B58" s="23" t="s">
        <v>73</v>
      </c>
      <c r="C58" s="23" t="s">
        <v>74</v>
      </c>
      <c r="D58" s="23" t="s">
        <v>467</v>
      </c>
      <c r="E58" s="23" t="s">
        <v>467</v>
      </c>
      <c r="F58" s="23" t="s">
        <v>468</v>
      </c>
      <c r="G58" s="23">
        <v>2026</v>
      </c>
      <c r="H58" s="23" t="s">
        <v>39</v>
      </c>
      <c r="I58" s="23" t="s">
        <v>40</v>
      </c>
      <c r="J58" s="23" t="s">
        <v>469</v>
      </c>
      <c r="K58" s="23"/>
      <c r="L58" s="23" t="s">
        <v>77</v>
      </c>
      <c r="M58" s="23" t="s">
        <v>78</v>
      </c>
      <c r="N58" s="25" t="s">
        <v>470</v>
      </c>
      <c r="O58" s="22" t="s">
        <v>436</v>
      </c>
      <c r="P58" s="19" t="s">
        <v>471</v>
      </c>
      <c r="Q58" s="16" t="s">
        <v>81</v>
      </c>
      <c r="R58" s="16" t="s">
        <v>47</v>
      </c>
      <c r="S58" s="16" t="s">
        <v>472</v>
      </c>
      <c r="T58" s="16" t="s">
        <v>473</v>
      </c>
      <c r="U58" s="16" t="s">
        <v>474</v>
      </c>
      <c r="V58" s="19" t="s">
        <v>475</v>
      </c>
      <c r="W58">
        <f t="shared" si="4"/>
        <v>30</v>
      </c>
      <c r="X58">
        <f t="shared" si="5"/>
        <v>7</v>
      </c>
      <c r="Y58">
        <f t="shared" si="6"/>
        <v>2026</v>
      </c>
      <c r="Z58" t="str">
        <f t="shared" si="7"/>
        <v>30-2026</v>
      </c>
      <c r="AA58" t="s">
        <v>179</v>
      </c>
      <c r="AB58" t="s">
        <v>476</v>
      </c>
      <c r="AD58" t="s">
        <v>477</v>
      </c>
      <c r="AE58" t="s">
        <v>53</v>
      </c>
      <c r="AF58">
        <v>2</v>
      </c>
      <c r="AG58" t="s">
        <v>302</v>
      </c>
    </row>
    <row r="59" spans="1:34" ht="18.95" customHeight="1">
      <c r="A59" s="23">
        <v>3683348</v>
      </c>
      <c r="B59" s="23" t="s">
        <v>478</v>
      </c>
      <c r="C59" s="23" t="s">
        <v>479</v>
      </c>
      <c r="D59" s="23" t="s">
        <v>467</v>
      </c>
      <c r="E59" s="23" t="s">
        <v>467</v>
      </c>
      <c r="F59" s="23" t="s">
        <v>480</v>
      </c>
      <c r="G59" s="23">
        <v>2026</v>
      </c>
      <c r="H59" s="23" t="s">
        <v>39</v>
      </c>
      <c r="I59" s="23" t="s">
        <v>40</v>
      </c>
      <c r="J59" s="23" t="s">
        <v>481</v>
      </c>
      <c r="K59" s="23" t="s">
        <v>482</v>
      </c>
      <c r="L59" s="23" t="s">
        <v>58</v>
      </c>
      <c r="M59" s="23" t="s">
        <v>59</v>
      </c>
      <c r="N59" s="25" t="s">
        <v>483</v>
      </c>
      <c r="O59" s="22" t="s">
        <v>409</v>
      </c>
      <c r="P59" s="19" t="s">
        <v>484</v>
      </c>
      <c r="Q59" s="16" t="s">
        <v>81</v>
      </c>
      <c r="R59" s="16" t="s">
        <v>47</v>
      </c>
      <c r="S59" s="16" t="s">
        <v>416</v>
      </c>
      <c r="T59" s="16">
        <v>3214903514</v>
      </c>
      <c r="U59" s="16" t="s">
        <v>485</v>
      </c>
      <c r="V59" s="19" t="s">
        <v>486</v>
      </c>
      <c r="W59">
        <f t="shared" si="4"/>
        <v>30</v>
      </c>
      <c r="X59">
        <f t="shared" si="5"/>
        <v>7</v>
      </c>
      <c r="Y59">
        <f t="shared" si="6"/>
        <v>2026</v>
      </c>
      <c r="Z59" t="str">
        <f t="shared" si="7"/>
        <v>30-2026</v>
      </c>
      <c r="AA59" t="s">
        <v>51</v>
      </c>
      <c r="AB59" t="s">
        <v>487</v>
      </c>
      <c r="AE59" t="s">
        <v>53</v>
      </c>
      <c r="AF59">
        <v>2</v>
      </c>
      <c r="AG59" t="s">
        <v>327</v>
      </c>
    </row>
    <row r="60" spans="1:34" ht="18.95" customHeight="1">
      <c r="A60" s="23">
        <v>3683607</v>
      </c>
      <c r="B60" s="23" t="s">
        <v>224</v>
      </c>
      <c r="C60" s="23" t="s">
        <v>224</v>
      </c>
      <c r="D60" s="23" t="s">
        <v>467</v>
      </c>
      <c r="E60" s="23" t="s">
        <v>467</v>
      </c>
      <c r="F60" s="23" t="s">
        <v>488</v>
      </c>
      <c r="G60" s="23">
        <v>2026</v>
      </c>
      <c r="H60" s="23" t="s">
        <v>39</v>
      </c>
      <c r="I60" s="23" t="s">
        <v>40</v>
      </c>
      <c r="J60" s="23" t="s">
        <v>489</v>
      </c>
      <c r="K60" s="23"/>
      <c r="L60" s="23" t="s">
        <v>58</v>
      </c>
      <c r="M60" s="23" t="s">
        <v>59</v>
      </c>
      <c r="N60" s="25"/>
      <c r="O60" s="22" t="s">
        <v>456</v>
      </c>
      <c r="P60" s="19" t="s">
        <v>490</v>
      </c>
      <c r="Q60" s="16" t="s">
        <v>81</v>
      </c>
      <c r="R60" s="16" t="s">
        <v>47</v>
      </c>
      <c r="S60" s="16" t="s">
        <v>110</v>
      </c>
      <c r="T60" s="16">
        <v>3175022222</v>
      </c>
      <c r="U60" s="16">
        <v>3153522582</v>
      </c>
      <c r="V60" s="19" t="s">
        <v>491</v>
      </c>
      <c r="W60">
        <f t="shared" si="4"/>
        <v>30</v>
      </c>
      <c r="X60">
        <f t="shared" si="5"/>
        <v>7</v>
      </c>
      <c r="Y60">
        <f t="shared" si="6"/>
        <v>2026</v>
      </c>
      <c r="Z60" t="str">
        <f t="shared" si="7"/>
        <v>30-2026</v>
      </c>
      <c r="AA60" t="s">
        <v>51</v>
      </c>
      <c r="AE60" t="s">
        <v>70</v>
      </c>
      <c r="AF60">
        <v>2</v>
      </c>
      <c r="AH60" t="s">
        <v>94</v>
      </c>
    </row>
    <row r="61" spans="1:34" ht="18.95" customHeight="1">
      <c r="A61" s="23">
        <v>3683610</v>
      </c>
      <c r="B61" s="23" t="s">
        <v>492</v>
      </c>
      <c r="C61" s="23" t="s">
        <v>493</v>
      </c>
      <c r="D61" s="23" t="s">
        <v>467</v>
      </c>
      <c r="E61" s="23" t="s">
        <v>467</v>
      </c>
      <c r="F61" s="23" t="s">
        <v>494</v>
      </c>
      <c r="G61" s="23">
        <v>2026</v>
      </c>
      <c r="H61" s="23" t="s">
        <v>39</v>
      </c>
      <c r="I61" s="23" t="s">
        <v>40</v>
      </c>
      <c r="J61" s="23" t="s">
        <v>495</v>
      </c>
      <c r="K61" s="23" t="s">
        <v>496</v>
      </c>
      <c r="L61" s="23" t="s">
        <v>58</v>
      </c>
      <c r="M61" s="23" t="s">
        <v>59</v>
      </c>
      <c r="N61" s="25" t="s">
        <v>497</v>
      </c>
      <c r="O61" s="22" t="s">
        <v>456</v>
      </c>
      <c r="P61" s="19" t="s">
        <v>498</v>
      </c>
      <c r="Q61" s="16" t="s">
        <v>46</v>
      </c>
      <c r="R61" s="16" t="s">
        <v>47</v>
      </c>
      <c r="S61" s="16" t="s">
        <v>48</v>
      </c>
      <c r="T61" s="16">
        <v>3186280302</v>
      </c>
      <c r="U61" s="16" t="s">
        <v>499</v>
      </c>
      <c r="V61" s="19" t="s">
        <v>500</v>
      </c>
      <c r="W61">
        <f t="shared" si="4"/>
        <v>30</v>
      </c>
      <c r="X61">
        <f t="shared" si="5"/>
        <v>7</v>
      </c>
      <c r="Y61">
        <f t="shared" si="6"/>
        <v>2026</v>
      </c>
      <c r="Z61" t="str">
        <f t="shared" si="7"/>
        <v>30-2026</v>
      </c>
      <c r="AA61" t="s">
        <v>51</v>
      </c>
      <c r="AB61" t="s">
        <v>501</v>
      </c>
      <c r="AE61" t="s">
        <v>70</v>
      </c>
      <c r="AF61">
        <v>2</v>
      </c>
      <c r="AH61" t="s">
        <v>71</v>
      </c>
    </row>
    <row r="62" spans="1:34" ht="18.95" customHeight="1">
      <c r="A62" s="23">
        <v>3683591</v>
      </c>
      <c r="B62" s="23" t="s">
        <v>35</v>
      </c>
      <c r="C62" s="23" t="s">
        <v>36</v>
      </c>
      <c r="D62" s="23" t="s">
        <v>467</v>
      </c>
      <c r="E62" s="23" t="s">
        <v>467</v>
      </c>
      <c r="F62" s="23" t="s">
        <v>502</v>
      </c>
      <c r="G62" s="23">
        <v>2026</v>
      </c>
      <c r="H62" s="23" t="s">
        <v>39</v>
      </c>
      <c r="I62" s="23" t="s">
        <v>40</v>
      </c>
      <c r="J62" s="23" t="s">
        <v>41</v>
      </c>
      <c r="K62" s="23" t="s">
        <v>503</v>
      </c>
      <c r="L62" s="23" t="s">
        <v>42</v>
      </c>
      <c r="M62" s="23" t="s">
        <v>43</v>
      </c>
      <c r="N62" s="25" t="s">
        <v>504</v>
      </c>
      <c r="O62" s="22" t="s">
        <v>505</v>
      </c>
      <c r="P62" s="16" t="s">
        <v>506</v>
      </c>
      <c r="Q62" s="16" t="s">
        <v>46</v>
      </c>
      <c r="R62" s="16" t="s">
        <v>47</v>
      </c>
      <c r="S62" s="16" t="s">
        <v>48</v>
      </c>
      <c r="T62" s="16">
        <v>3202129355</v>
      </c>
      <c r="U62" s="16">
        <v>3202129355</v>
      </c>
      <c r="V62" s="19" t="s">
        <v>507</v>
      </c>
      <c r="W62">
        <f t="shared" si="4"/>
        <v>30</v>
      </c>
      <c r="X62">
        <f t="shared" si="5"/>
        <v>7</v>
      </c>
      <c r="Y62">
        <f t="shared" si="6"/>
        <v>2026</v>
      </c>
      <c r="Z62" t="str">
        <f t="shared" si="7"/>
        <v>30-2026</v>
      </c>
      <c r="AA62" t="s">
        <v>51</v>
      </c>
      <c r="AB62" t="s">
        <v>508</v>
      </c>
      <c r="AE62" t="s">
        <v>70</v>
      </c>
      <c r="AF62">
        <v>2</v>
      </c>
      <c r="AH62" t="s">
        <v>170</v>
      </c>
    </row>
    <row r="63" spans="1:34" ht="18.95" customHeight="1">
      <c r="A63" s="23">
        <v>3683612</v>
      </c>
      <c r="B63" s="23" t="s">
        <v>224</v>
      </c>
      <c r="C63" s="23" t="s">
        <v>224</v>
      </c>
      <c r="D63" s="23" t="s">
        <v>467</v>
      </c>
      <c r="E63" s="23" t="s">
        <v>467</v>
      </c>
      <c r="F63" s="23" t="s">
        <v>509</v>
      </c>
      <c r="G63" s="23">
        <v>2026</v>
      </c>
      <c r="H63" s="23" t="s">
        <v>39</v>
      </c>
      <c r="I63" s="23" t="s">
        <v>40</v>
      </c>
      <c r="J63" s="23" t="s">
        <v>510</v>
      </c>
      <c r="K63" s="23"/>
      <c r="L63" s="23" t="s">
        <v>58</v>
      </c>
      <c r="M63" s="23" t="s">
        <v>59</v>
      </c>
      <c r="N63" s="25"/>
      <c r="O63" s="22" t="s">
        <v>456</v>
      </c>
      <c r="P63" s="19" t="s">
        <v>511</v>
      </c>
      <c r="Q63" s="16" t="s">
        <v>145</v>
      </c>
      <c r="R63" s="16" t="s">
        <v>47</v>
      </c>
      <c r="S63" s="16" t="s">
        <v>146</v>
      </c>
      <c r="T63" s="16">
        <v>3503394887</v>
      </c>
      <c r="U63" s="16">
        <v>3503394887</v>
      </c>
      <c r="V63" s="19" t="s">
        <v>512</v>
      </c>
      <c r="W63">
        <f t="shared" si="4"/>
        <v>30</v>
      </c>
      <c r="X63">
        <f t="shared" si="5"/>
        <v>7</v>
      </c>
      <c r="Y63">
        <f t="shared" si="6"/>
        <v>2026</v>
      </c>
      <c r="Z63" t="str">
        <f t="shared" si="7"/>
        <v>30-2026</v>
      </c>
      <c r="AA63" t="s">
        <v>51</v>
      </c>
      <c r="AE63" t="s">
        <v>70</v>
      </c>
      <c r="AF63">
        <v>2</v>
      </c>
      <c r="AH63" t="s">
        <v>170</v>
      </c>
    </row>
    <row r="64" spans="1:34" ht="18.95" customHeight="1">
      <c r="A64" s="23">
        <v>3686736</v>
      </c>
      <c r="B64" s="23" t="s">
        <v>367</v>
      </c>
      <c r="C64" s="23" t="s">
        <v>368</v>
      </c>
      <c r="D64" s="23" t="s">
        <v>513</v>
      </c>
      <c r="E64" s="23" t="s">
        <v>513</v>
      </c>
      <c r="F64" s="23" t="s">
        <v>514</v>
      </c>
      <c r="G64" s="23">
        <v>2026</v>
      </c>
      <c r="H64" s="23" t="s">
        <v>39</v>
      </c>
      <c r="I64" s="23" t="s">
        <v>40</v>
      </c>
      <c r="J64" s="23" t="s">
        <v>515</v>
      </c>
      <c r="K64" s="23"/>
      <c r="L64" s="23" t="s">
        <v>58</v>
      </c>
      <c r="M64" s="23" t="s">
        <v>59</v>
      </c>
      <c r="N64" s="25" t="s">
        <v>516</v>
      </c>
      <c r="O64" s="22" t="s">
        <v>456</v>
      </c>
      <c r="P64" s="19" t="s">
        <v>517</v>
      </c>
      <c r="Q64" s="16" t="s">
        <v>46</v>
      </c>
      <c r="R64" s="16" t="s">
        <v>47</v>
      </c>
      <c r="S64" s="16" t="s">
        <v>48</v>
      </c>
      <c r="T64" s="16" t="s">
        <v>518</v>
      </c>
      <c r="U64" s="16" t="s">
        <v>294</v>
      </c>
      <c r="V64" s="19" t="s">
        <v>519</v>
      </c>
      <c r="W64">
        <f t="shared" si="4"/>
        <v>30</v>
      </c>
      <c r="X64">
        <f t="shared" si="5"/>
        <v>7</v>
      </c>
      <c r="Y64">
        <f t="shared" si="6"/>
        <v>2026</v>
      </c>
      <c r="Z64" t="str">
        <f t="shared" si="7"/>
        <v>30-2026</v>
      </c>
      <c r="AA64" t="s">
        <v>51</v>
      </c>
      <c r="AB64" t="s">
        <v>520</v>
      </c>
      <c r="AE64" t="s">
        <v>70</v>
      </c>
      <c r="AF64">
        <v>2</v>
      </c>
      <c r="AH64" t="s">
        <v>170</v>
      </c>
    </row>
    <row r="65" spans="1:36" ht="18.95" customHeight="1">
      <c r="A65" s="23">
        <v>3687074</v>
      </c>
      <c r="B65" s="23" t="s">
        <v>521</v>
      </c>
      <c r="C65" s="23" t="s">
        <v>522</v>
      </c>
      <c r="D65" s="23" t="s">
        <v>513</v>
      </c>
      <c r="E65" s="23" t="s">
        <v>513</v>
      </c>
      <c r="F65" s="23" t="s">
        <v>523</v>
      </c>
      <c r="G65" s="23">
        <v>2026</v>
      </c>
      <c r="H65" s="23" t="s">
        <v>39</v>
      </c>
      <c r="I65" s="23" t="s">
        <v>40</v>
      </c>
      <c r="J65" s="23" t="s">
        <v>524</v>
      </c>
      <c r="K65" s="23" t="s">
        <v>525</v>
      </c>
      <c r="L65" s="23" t="s">
        <v>77</v>
      </c>
      <c r="M65" s="23" t="s">
        <v>526</v>
      </c>
      <c r="N65" s="25"/>
      <c r="O65" s="22" t="s">
        <v>436</v>
      </c>
      <c r="P65" s="19" t="s">
        <v>527</v>
      </c>
      <c r="Q65" s="16" t="s">
        <v>46</v>
      </c>
      <c r="R65" s="16" t="s">
        <v>47</v>
      </c>
      <c r="S65" s="16" t="s">
        <v>48</v>
      </c>
      <c r="T65" s="16">
        <v>3133263867</v>
      </c>
      <c r="U65" s="16" t="s">
        <v>395</v>
      </c>
      <c r="V65" s="19" t="s">
        <v>528</v>
      </c>
      <c r="W65">
        <f t="shared" si="4"/>
        <v>30</v>
      </c>
      <c r="X65">
        <f t="shared" si="5"/>
        <v>7</v>
      </c>
      <c r="Y65">
        <f t="shared" si="6"/>
        <v>2026</v>
      </c>
      <c r="Z65" t="str">
        <f t="shared" si="7"/>
        <v>30-2026</v>
      </c>
      <c r="AA65" t="s">
        <v>51</v>
      </c>
      <c r="AE65" t="s">
        <v>70</v>
      </c>
      <c r="AF65">
        <v>2</v>
      </c>
      <c r="AH65" t="s">
        <v>94</v>
      </c>
    </row>
    <row r="66" spans="1:36" ht="18.95" customHeight="1">
      <c r="A66" s="23">
        <v>3687128</v>
      </c>
      <c r="B66" s="23" t="s">
        <v>478</v>
      </c>
      <c r="C66" s="23" t="s">
        <v>479</v>
      </c>
      <c r="D66" s="23" t="s">
        <v>513</v>
      </c>
      <c r="E66" s="23" t="s">
        <v>513</v>
      </c>
      <c r="F66" s="23" t="s">
        <v>529</v>
      </c>
      <c r="G66" s="23">
        <v>2026</v>
      </c>
      <c r="H66" s="23" t="s">
        <v>39</v>
      </c>
      <c r="I66" s="23" t="s">
        <v>40</v>
      </c>
      <c r="J66" s="23" t="s">
        <v>530</v>
      </c>
      <c r="K66" s="23"/>
      <c r="L66" s="23" t="s">
        <v>58</v>
      </c>
      <c r="M66" s="23" t="s">
        <v>59</v>
      </c>
      <c r="N66" s="25" t="s">
        <v>531</v>
      </c>
      <c r="O66" s="22" t="s">
        <v>409</v>
      </c>
      <c r="P66" s="19" t="s">
        <v>532</v>
      </c>
      <c r="Q66" s="16" t="s">
        <v>145</v>
      </c>
      <c r="R66" s="16" t="s">
        <v>89</v>
      </c>
      <c r="S66" s="16" t="s">
        <v>146</v>
      </c>
      <c r="T66" s="16" t="s">
        <v>533</v>
      </c>
      <c r="U66" s="16" t="s">
        <v>534</v>
      </c>
      <c r="V66" s="19" t="s">
        <v>535</v>
      </c>
      <c r="W66">
        <f t="shared" si="4"/>
        <v>30</v>
      </c>
      <c r="X66">
        <f t="shared" si="5"/>
        <v>7</v>
      </c>
      <c r="Y66">
        <f t="shared" si="6"/>
        <v>2026</v>
      </c>
      <c r="Z66" t="str">
        <f t="shared" si="7"/>
        <v>30-2026</v>
      </c>
      <c r="AA66" t="s">
        <v>51</v>
      </c>
      <c r="AB66" t="s">
        <v>536</v>
      </c>
      <c r="AE66" t="s">
        <v>70</v>
      </c>
      <c r="AF66">
        <v>2</v>
      </c>
      <c r="AH66" t="s">
        <v>71</v>
      </c>
      <c r="AI66" t="s">
        <v>537</v>
      </c>
      <c r="AJ66" s="26">
        <v>46231</v>
      </c>
    </row>
    <row r="67" spans="1:36" ht="29.1">
      <c r="A67" s="16">
        <v>3687196</v>
      </c>
      <c r="B67" s="16" t="s">
        <v>538</v>
      </c>
      <c r="C67" s="16" t="s">
        <v>539</v>
      </c>
      <c r="D67" s="30">
        <v>46227</v>
      </c>
      <c r="E67" s="27">
        <v>46227</v>
      </c>
      <c r="F67" s="28">
        <v>0.65347222222222223</v>
      </c>
      <c r="G67" s="16">
        <v>2026</v>
      </c>
      <c r="H67" s="16" t="s">
        <v>39</v>
      </c>
      <c r="I67" s="21" t="s">
        <v>40</v>
      </c>
      <c r="J67" s="24" t="s">
        <v>540</v>
      </c>
      <c r="K67" s="25"/>
      <c r="L67" s="22" t="s">
        <v>77</v>
      </c>
      <c r="M67" s="21" t="s">
        <v>78</v>
      </c>
      <c r="N67" s="25" t="s">
        <v>541</v>
      </c>
      <c r="O67" s="25" t="s">
        <v>436</v>
      </c>
      <c r="P67" s="19" t="s">
        <v>542</v>
      </c>
      <c r="Q67" s="25" t="s">
        <v>46</v>
      </c>
      <c r="R67" s="25" t="s">
        <v>47</v>
      </c>
      <c r="S67" s="16" t="s">
        <v>48</v>
      </c>
      <c r="T67" s="29">
        <v>3024234177</v>
      </c>
      <c r="U67" s="29">
        <v>3024234177</v>
      </c>
      <c r="V67" s="19" t="s">
        <v>543</v>
      </c>
      <c r="W67">
        <f>WEEKNUM(E67)</f>
        <v>30</v>
      </c>
      <c r="X67">
        <f>MONTH(E67)</f>
        <v>7</v>
      </c>
      <c r="Y67">
        <f>YEAR(E67)</f>
        <v>2026</v>
      </c>
      <c r="Z67" t="str">
        <f>_xlfn.CONCAT(W67,"-",Y67)</f>
        <v>30-2026</v>
      </c>
      <c r="AA67" t="s">
        <v>51</v>
      </c>
      <c r="AE67" t="s">
        <v>113</v>
      </c>
      <c r="AF67">
        <v>2</v>
      </c>
      <c r="AH67" t="s">
        <v>170</v>
      </c>
    </row>
    <row r="68" spans="1:36" ht="29.1">
      <c r="A68" s="16">
        <v>3687205</v>
      </c>
      <c r="B68" s="16" t="s">
        <v>544</v>
      </c>
      <c r="C68" s="16" t="s">
        <v>545</v>
      </c>
      <c r="D68" s="30">
        <v>46227</v>
      </c>
      <c r="E68" s="27">
        <v>46227</v>
      </c>
      <c r="F68" s="28">
        <v>0.66388888888888886</v>
      </c>
      <c r="G68" s="16">
        <v>2026</v>
      </c>
      <c r="H68" s="16" t="s">
        <v>39</v>
      </c>
      <c r="I68" s="21" t="s">
        <v>40</v>
      </c>
      <c r="J68" s="24" t="s">
        <v>546</v>
      </c>
      <c r="K68" s="25"/>
      <c r="L68" s="22" t="s">
        <v>77</v>
      </c>
      <c r="M68" s="21" t="s">
        <v>78</v>
      </c>
      <c r="N68" s="25"/>
      <c r="O68" s="25" t="s">
        <v>436</v>
      </c>
      <c r="P68" s="19" t="s">
        <v>547</v>
      </c>
      <c r="Q68" s="25" t="s">
        <v>548</v>
      </c>
      <c r="R68" s="25" t="s">
        <v>47</v>
      </c>
      <c r="S68" s="16" t="s">
        <v>416</v>
      </c>
      <c r="T68" s="29" t="s">
        <v>549</v>
      </c>
      <c r="U68" s="29" t="s">
        <v>550</v>
      </c>
      <c r="V68" s="19" t="s">
        <v>551</v>
      </c>
      <c r="W68">
        <f>WEEKNUM(E68)</f>
        <v>30</v>
      </c>
      <c r="X68">
        <f>MONTH(E68)</f>
        <v>7</v>
      </c>
      <c r="Y68">
        <f>YEAR(E68)</f>
        <v>2026</v>
      </c>
      <c r="Z68" t="str">
        <f>_xlfn.CONCAT(W68,"-",Y68)</f>
        <v>30-2026</v>
      </c>
      <c r="AA68" t="s">
        <v>51</v>
      </c>
      <c r="AE68" t="s">
        <v>70</v>
      </c>
      <c r="AF68">
        <v>2</v>
      </c>
      <c r="AH68" t="s">
        <v>94</v>
      </c>
    </row>
    <row r="69" spans="1:36" ht="29.1">
      <c r="A69" s="16">
        <v>3687227</v>
      </c>
      <c r="B69" s="16" t="s">
        <v>367</v>
      </c>
      <c r="C69" s="16" t="s">
        <v>368</v>
      </c>
      <c r="D69" s="30">
        <v>46227</v>
      </c>
      <c r="E69" s="27">
        <v>46227</v>
      </c>
      <c r="F69" s="28">
        <v>0.7104166666666667</v>
      </c>
      <c r="G69" s="16">
        <v>2026</v>
      </c>
      <c r="H69" s="16" t="s">
        <v>39</v>
      </c>
      <c r="I69" s="21" t="s">
        <v>40</v>
      </c>
      <c r="J69" s="24" t="s">
        <v>552</v>
      </c>
      <c r="K69" s="25"/>
      <c r="L69" s="22" t="s">
        <v>58</v>
      </c>
      <c r="M69" s="21" t="s">
        <v>59</v>
      </c>
      <c r="N69" s="25"/>
      <c r="O69" s="25" t="s">
        <v>456</v>
      </c>
      <c r="P69" s="19" t="s">
        <v>553</v>
      </c>
      <c r="Q69" s="25" t="s">
        <v>145</v>
      </c>
      <c r="R69" s="25" t="s">
        <v>47</v>
      </c>
      <c r="S69" s="16" t="s">
        <v>146</v>
      </c>
      <c r="T69" s="29">
        <v>3024817872</v>
      </c>
      <c r="U69" s="29" t="s">
        <v>423</v>
      </c>
      <c r="V69" s="19" t="s">
        <v>554</v>
      </c>
      <c r="W69">
        <f>WEEKNUM(E69)</f>
        <v>30</v>
      </c>
      <c r="X69">
        <f>MONTH(E69)</f>
        <v>7</v>
      </c>
      <c r="Y69">
        <f>YEAR(E69)</f>
        <v>2026</v>
      </c>
      <c r="Z69" t="str">
        <f>_xlfn.CONCAT(W69,"-",Y69)</f>
        <v>30-2026</v>
      </c>
      <c r="AA69" t="s">
        <v>51</v>
      </c>
      <c r="AE69" t="s">
        <v>113</v>
      </c>
      <c r="AF69">
        <v>2</v>
      </c>
      <c r="AH69" t="s">
        <v>71</v>
      </c>
    </row>
    <row r="70" spans="1:36" ht="29.1">
      <c r="A70" s="16">
        <v>3687230</v>
      </c>
      <c r="B70" s="16" t="s">
        <v>555</v>
      </c>
      <c r="C70" s="16" t="s">
        <v>556</v>
      </c>
      <c r="D70" s="30">
        <v>46227</v>
      </c>
      <c r="E70" s="27">
        <v>46227</v>
      </c>
      <c r="F70" s="28">
        <v>0.72291666666666665</v>
      </c>
      <c r="G70" s="16">
        <v>2026</v>
      </c>
      <c r="H70" s="16" t="s">
        <v>39</v>
      </c>
      <c r="I70" s="21" t="s">
        <v>40</v>
      </c>
      <c r="J70" s="24" t="s">
        <v>557</v>
      </c>
      <c r="K70" s="25"/>
      <c r="L70" s="22" t="s">
        <v>58</v>
      </c>
      <c r="M70" s="21" t="s">
        <v>59</v>
      </c>
      <c r="N70" s="25"/>
      <c r="O70" s="25" t="s">
        <v>409</v>
      </c>
      <c r="P70" s="19" t="s">
        <v>558</v>
      </c>
      <c r="Q70" s="25" t="s">
        <v>46</v>
      </c>
      <c r="R70" s="25" t="s">
        <v>89</v>
      </c>
      <c r="S70" s="16" t="s">
        <v>48</v>
      </c>
      <c r="T70" s="29">
        <v>3114910947</v>
      </c>
      <c r="U70" s="29" t="s">
        <v>388</v>
      </c>
      <c r="V70" s="19" t="s">
        <v>559</v>
      </c>
      <c r="W70">
        <f>WEEKNUM(E70)</f>
        <v>30</v>
      </c>
      <c r="X70">
        <f>MONTH(E70)</f>
        <v>7</v>
      </c>
      <c r="Y70">
        <f>YEAR(E70)</f>
        <v>2026</v>
      </c>
      <c r="Z70" t="str">
        <f>_xlfn.CONCAT(W70,"-",Y70)</f>
        <v>30-2026</v>
      </c>
      <c r="AA70" t="s">
        <v>179</v>
      </c>
      <c r="AD70" t="s">
        <v>560</v>
      </c>
      <c r="AE70" t="s">
        <v>53</v>
      </c>
      <c r="AF70">
        <v>2</v>
      </c>
      <c r="AG70" t="s">
        <v>302</v>
      </c>
    </row>
    <row r="71" spans="1:36" ht="22.5" customHeight="1">
      <c r="A71" s="16">
        <v>3687232</v>
      </c>
      <c r="B71" s="16" t="s">
        <v>404</v>
      </c>
      <c r="C71" s="16"/>
      <c r="D71" s="30">
        <v>46227</v>
      </c>
      <c r="E71" s="27">
        <v>46227</v>
      </c>
      <c r="F71" s="28">
        <v>0.72361111111111109</v>
      </c>
      <c r="G71" s="16">
        <v>2026</v>
      </c>
      <c r="H71" s="16" t="s">
        <v>39</v>
      </c>
      <c r="I71" s="21" t="s">
        <v>40</v>
      </c>
      <c r="J71" s="24" t="s">
        <v>561</v>
      </c>
      <c r="K71" s="25"/>
      <c r="L71" s="22" t="s">
        <v>58</v>
      </c>
      <c r="M71" s="21" t="s">
        <v>59</v>
      </c>
      <c r="N71" s="25" t="s">
        <v>562</v>
      </c>
      <c r="O71" s="25" t="s">
        <v>409</v>
      </c>
      <c r="P71" s="19" t="s">
        <v>563</v>
      </c>
      <c r="Q71" s="25" t="s">
        <v>145</v>
      </c>
      <c r="R71" s="25" t="s">
        <v>89</v>
      </c>
      <c r="S71" s="16" t="s">
        <v>48</v>
      </c>
      <c r="T71" s="29">
        <v>3142715094</v>
      </c>
      <c r="U71" s="29" t="s">
        <v>388</v>
      </c>
      <c r="V71" s="19" t="s">
        <v>564</v>
      </c>
      <c r="W71">
        <f>WEEKNUM(E71)</f>
        <v>30</v>
      </c>
      <c r="X71">
        <f>MONTH(E71)</f>
        <v>7</v>
      </c>
      <c r="Y71">
        <f>YEAR(E71)</f>
        <v>2026</v>
      </c>
      <c r="Z71" t="str">
        <f>_xlfn.CONCAT(W71,"-",Y71)</f>
        <v>30-2026</v>
      </c>
      <c r="AA71" t="s">
        <v>51</v>
      </c>
      <c r="AE71" t="s">
        <v>113</v>
      </c>
      <c r="AF71">
        <v>2</v>
      </c>
      <c r="AH71" t="s">
        <v>170</v>
      </c>
    </row>
    <row r="72" spans="1:36" ht="29.1">
      <c r="A72" s="16">
        <v>3687233</v>
      </c>
      <c r="B72" s="16" t="s">
        <v>555</v>
      </c>
      <c r="C72" s="16" t="s">
        <v>556</v>
      </c>
      <c r="D72" s="30">
        <v>46227</v>
      </c>
      <c r="E72" s="27">
        <v>46227</v>
      </c>
      <c r="F72" s="28">
        <v>0.72777777777777775</v>
      </c>
      <c r="G72" s="16">
        <v>2026</v>
      </c>
      <c r="H72" s="16" t="s">
        <v>39</v>
      </c>
      <c r="I72" s="21" t="s">
        <v>40</v>
      </c>
      <c r="J72" s="24" t="s">
        <v>565</v>
      </c>
      <c r="K72" s="25"/>
      <c r="L72" s="22" t="s">
        <v>58</v>
      </c>
      <c r="M72" s="21" t="s">
        <v>59</v>
      </c>
      <c r="N72" s="25"/>
      <c r="O72" s="25" t="s">
        <v>409</v>
      </c>
      <c r="P72" s="19" t="s">
        <v>566</v>
      </c>
      <c r="Q72" s="25" t="s">
        <v>46</v>
      </c>
      <c r="R72" s="25" t="s">
        <v>89</v>
      </c>
      <c r="S72" s="16" t="s">
        <v>48</v>
      </c>
      <c r="T72" s="29" t="s">
        <v>567</v>
      </c>
      <c r="U72" s="29" t="s">
        <v>388</v>
      </c>
      <c r="V72" s="19" t="s">
        <v>568</v>
      </c>
      <c r="W72">
        <f>WEEKNUM(E72)</f>
        <v>30</v>
      </c>
      <c r="X72">
        <f>MONTH(E72)</f>
        <v>7</v>
      </c>
      <c r="Y72">
        <f>YEAR(E72)</f>
        <v>2026</v>
      </c>
      <c r="Z72" t="str">
        <f>_xlfn.CONCAT(W72,"-",Y72)</f>
        <v>30-2026</v>
      </c>
      <c r="AA72" t="s">
        <v>51</v>
      </c>
      <c r="AE72" t="s">
        <v>113</v>
      </c>
      <c r="AF72">
        <v>2</v>
      </c>
      <c r="AH72" t="s">
        <v>71</v>
      </c>
    </row>
    <row r="73" spans="1:36" ht="22.5" customHeight="1">
      <c r="A73" s="16">
        <v>3687238</v>
      </c>
      <c r="B73" s="16" t="s">
        <v>404</v>
      </c>
      <c r="C73" s="16"/>
      <c r="D73" s="30">
        <v>46227</v>
      </c>
      <c r="E73" s="27">
        <v>46227</v>
      </c>
      <c r="F73" s="28">
        <v>0.7319444444444444</v>
      </c>
      <c r="G73" s="16">
        <v>2026</v>
      </c>
      <c r="H73" s="16" t="s">
        <v>39</v>
      </c>
      <c r="I73" s="21" t="s">
        <v>40</v>
      </c>
      <c r="J73" s="24" t="s">
        <v>569</v>
      </c>
      <c r="K73" s="25"/>
      <c r="L73" s="22" t="s">
        <v>58</v>
      </c>
      <c r="M73" s="21" t="s">
        <v>59</v>
      </c>
      <c r="N73" s="25"/>
      <c r="O73" s="25" t="s">
        <v>409</v>
      </c>
      <c r="P73" s="19" t="s">
        <v>570</v>
      </c>
      <c r="Q73" s="25" t="s">
        <v>145</v>
      </c>
      <c r="R73" s="25" t="s">
        <v>47</v>
      </c>
      <c r="S73" s="16" t="s">
        <v>146</v>
      </c>
      <c r="T73" s="29" t="s">
        <v>571</v>
      </c>
      <c r="U73" s="29" t="s">
        <v>572</v>
      </c>
      <c r="V73" s="19" t="s">
        <v>573</v>
      </c>
      <c r="W73">
        <f>WEEKNUM(E73)</f>
        <v>30</v>
      </c>
      <c r="X73">
        <f>MONTH(E73)</f>
        <v>7</v>
      </c>
      <c r="Y73">
        <f>YEAR(E73)</f>
        <v>2026</v>
      </c>
      <c r="Z73" t="str">
        <f>_xlfn.CONCAT(W73,"-",Y73)</f>
        <v>30-2026</v>
      </c>
      <c r="AA73" t="s">
        <v>51</v>
      </c>
      <c r="AE73" t="s">
        <v>113</v>
      </c>
      <c r="AF73">
        <v>2</v>
      </c>
      <c r="AH73" t="s">
        <v>94</v>
      </c>
    </row>
    <row r="74" spans="1:36" ht="29.1">
      <c r="A74" s="16">
        <v>3687240</v>
      </c>
      <c r="B74" s="16" t="s">
        <v>574</v>
      </c>
      <c r="C74" s="16" t="s">
        <v>575</v>
      </c>
      <c r="D74" s="30">
        <v>46227</v>
      </c>
      <c r="E74" s="27">
        <v>46227</v>
      </c>
      <c r="F74" s="28">
        <v>0.73263888888888884</v>
      </c>
      <c r="G74" s="16">
        <v>2026</v>
      </c>
      <c r="H74" s="16" t="s">
        <v>39</v>
      </c>
      <c r="I74" s="21" t="s">
        <v>40</v>
      </c>
      <c r="J74" s="24" t="s">
        <v>576</v>
      </c>
      <c r="K74" s="25"/>
      <c r="L74" s="22" t="s">
        <v>58</v>
      </c>
      <c r="M74" s="21" t="s">
        <v>59</v>
      </c>
      <c r="N74" s="25"/>
      <c r="O74" s="25" t="s">
        <v>456</v>
      </c>
      <c r="P74" s="19" t="s">
        <v>577</v>
      </c>
      <c r="Q74" s="25" t="s">
        <v>145</v>
      </c>
      <c r="R74" s="25" t="s">
        <v>89</v>
      </c>
      <c r="S74" s="16" t="s">
        <v>110</v>
      </c>
      <c r="T74" s="29" t="s">
        <v>578</v>
      </c>
      <c r="U74" s="29" t="s">
        <v>579</v>
      </c>
      <c r="V74" s="19" t="s">
        <v>580</v>
      </c>
      <c r="W74">
        <f>WEEKNUM(E74)</f>
        <v>30</v>
      </c>
      <c r="X74">
        <f>MONTH(E74)</f>
        <v>7</v>
      </c>
      <c r="Y74">
        <f>YEAR(E74)</f>
        <v>2026</v>
      </c>
      <c r="Z74" t="str">
        <f>_xlfn.CONCAT(W74,"-",Y74)</f>
        <v>30-2026</v>
      </c>
      <c r="AA74" t="s">
        <v>51</v>
      </c>
      <c r="AE74" t="s">
        <v>113</v>
      </c>
      <c r="AF74">
        <v>2</v>
      </c>
      <c r="AH74" t="s">
        <v>94</v>
      </c>
    </row>
    <row r="75" spans="1:36" ht="29.1">
      <c r="A75" s="16">
        <v>3687244</v>
      </c>
      <c r="B75" s="16" t="s">
        <v>555</v>
      </c>
      <c r="C75" s="16" t="s">
        <v>556</v>
      </c>
      <c r="D75" s="30">
        <v>46227</v>
      </c>
      <c r="E75" s="27">
        <v>46227</v>
      </c>
      <c r="F75" s="28">
        <v>0.73958333333333337</v>
      </c>
      <c r="G75" s="16">
        <v>2026</v>
      </c>
      <c r="H75" s="16" t="s">
        <v>39</v>
      </c>
      <c r="I75" s="21" t="s">
        <v>40</v>
      </c>
      <c r="J75" s="24" t="s">
        <v>581</v>
      </c>
      <c r="K75" s="25"/>
      <c r="L75" s="22" t="s">
        <v>58</v>
      </c>
      <c r="M75" s="21" t="s">
        <v>59</v>
      </c>
      <c r="N75" s="25"/>
      <c r="O75" s="25" t="s">
        <v>409</v>
      </c>
      <c r="P75" s="19" t="s">
        <v>582</v>
      </c>
      <c r="Q75" s="25" t="s">
        <v>46</v>
      </c>
      <c r="R75" s="25" t="s">
        <v>89</v>
      </c>
      <c r="S75" s="16" t="s">
        <v>48</v>
      </c>
      <c r="T75" s="29">
        <v>3105726862</v>
      </c>
      <c r="U75" s="29" t="s">
        <v>388</v>
      </c>
      <c r="V75" s="19" t="s">
        <v>583</v>
      </c>
      <c r="W75">
        <f>WEEKNUM(E75)</f>
        <v>30</v>
      </c>
      <c r="X75">
        <f>MONTH(E75)</f>
        <v>7</v>
      </c>
      <c r="Y75">
        <f>YEAR(E75)</f>
        <v>2026</v>
      </c>
      <c r="Z75" t="str">
        <f>_xlfn.CONCAT(W75,"-",Y75)</f>
        <v>30-2026</v>
      </c>
      <c r="AA75" t="s">
        <v>51</v>
      </c>
      <c r="AE75" t="s">
        <v>53</v>
      </c>
      <c r="AF75">
        <v>2</v>
      </c>
      <c r="AG75" t="s">
        <v>309</v>
      </c>
    </row>
    <row r="76" spans="1:36" ht="29.1">
      <c r="A76" s="16">
        <v>3687254</v>
      </c>
      <c r="B76" s="16" t="s">
        <v>367</v>
      </c>
      <c r="C76" s="16" t="s">
        <v>368</v>
      </c>
      <c r="D76" s="30">
        <v>46227</v>
      </c>
      <c r="E76" s="27">
        <v>46227</v>
      </c>
      <c r="F76" s="28">
        <v>0.7416666666666667</v>
      </c>
      <c r="G76" s="16">
        <v>2026</v>
      </c>
      <c r="H76" s="16" t="s">
        <v>39</v>
      </c>
      <c r="I76" s="21" t="s">
        <v>40</v>
      </c>
      <c r="J76" s="24" t="s">
        <v>584</v>
      </c>
      <c r="K76" s="25" t="s">
        <v>585</v>
      </c>
      <c r="L76" s="22" t="s">
        <v>58</v>
      </c>
      <c r="M76" s="21" t="s">
        <v>59</v>
      </c>
      <c r="N76" s="25" t="s">
        <v>586</v>
      </c>
      <c r="O76" s="25" t="s">
        <v>456</v>
      </c>
      <c r="P76" s="19" t="s">
        <v>587</v>
      </c>
      <c r="Q76" s="25" t="s">
        <v>46</v>
      </c>
      <c r="R76" s="25" t="s">
        <v>89</v>
      </c>
      <c r="S76" s="16" t="s">
        <v>48</v>
      </c>
      <c r="T76" s="29">
        <v>3154720372</v>
      </c>
      <c r="U76" s="29" t="s">
        <v>588</v>
      </c>
      <c r="V76" s="19" t="s">
        <v>589</v>
      </c>
      <c r="W76">
        <f>WEEKNUM(E76)</f>
        <v>30</v>
      </c>
      <c r="X76">
        <f>MONTH(E76)</f>
        <v>7</v>
      </c>
      <c r="Y76">
        <f>YEAR(E76)</f>
        <v>2026</v>
      </c>
      <c r="Z76" t="str">
        <f>_xlfn.CONCAT(W76,"-",Y76)</f>
        <v>30-2026</v>
      </c>
      <c r="AA76" t="s">
        <v>51</v>
      </c>
      <c r="AE76" t="s">
        <v>53</v>
      </c>
      <c r="AF76">
        <v>2</v>
      </c>
      <c r="AG76" t="s">
        <v>286</v>
      </c>
    </row>
    <row r="77" spans="1:36" ht="29.1">
      <c r="A77" s="16">
        <v>3687255</v>
      </c>
      <c r="B77" s="16" t="s">
        <v>367</v>
      </c>
      <c r="C77" s="16" t="s">
        <v>368</v>
      </c>
      <c r="D77" s="30">
        <v>46227</v>
      </c>
      <c r="E77" s="27">
        <v>46227</v>
      </c>
      <c r="F77" s="28">
        <v>0.74444444444444446</v>
      </c>
      <c r="G77" s="16">
        <v>2026</v>
      </c>
      <c r="H77" s="16" t="s">
        <v>39</v>
      </c>
      <c r="I77" s="21" t="s">
        <v>40</v>
      </c>
      <c r="J77" s="24" t="s">
        <v>590</v>
      </c>
      <c r="K77" s="25"/>
      <c r="L77" s="22" t="s">
        <v>58</v>
      </c>
      <c r="M77" s="21" t="s">
        <v>59</v>
      </c>
      <c r="N77" s="25" t="s">
        <v>591</v>
      </c>
      <c r="O77" s="25" t="s">
        <v>456</v>
      </c>
      <c r="P77" s="19" t="s">
        <v>592</v>
      </c>
      <c r="Q77" s="25" t="s">
        <v>145</v>
      </c>
      <c r="R77" s="25" t="s">
        <v>89</v>
      </c>
      <c r="S77" s="16" t="s">
        <v>438</v>
      </c>
      <c r="T77" s="29">
        <v>3142935162</v>
      </c>
      <c r="U77" s="29" t="s">
        <v>294</v>
      </c>
      <c r="V77" s="19" t="s">
        <v>593</v>
      </c>
      <c r="W77">
        <f>WEEKNUM(E77)</f>
        <v>30</v>
      </c>
      <c r="X77">
        <f>MONTH(E77)</f>
        <v>7</v>
      </c>
      <c r="Y77">
        <f>YEAR(E77)</f>
        <v>2026</v>
      </c>
      <c r="Z77" t="str">
        <f>_xlfn.CONCAT(W77,"-",Y77)</f>
        <v>30-2026</v>
      </c>
      <c r="AA77" t="s">
        <v>51</v>
      </c>
      <c r="AE77" t="s">
        <v>53</v>
      </c>
      <c r="AF77">
        <v>2</v>
      </c>
      <c r="AG77" t="s">
        <v>286</v>
      </c>
    </row>
    <row r="78" spans="1:36" ht="29.1">
      <c r="A78" s="16">
        <v>3687264</v>
      </c>
      <c r="B78" s="16" t="s">
        <v>224</v>
      </c>
      <c r="C78" s="16" t="s">
        <v>224</v>
      </c>
      <c r="D78" s="30">
        <v>46227</v>
      </c>
      <c r="E78" s="27">
        <v>46227</v>
      </c>
      <c r="F78" s="28">
        <v>0.75763888888888886</v>
      </c>
      <c r="G78" s="16">
        <v>2026</v>
      </c>
      <c r="H78" s="16" t="s">
        <v>39</v>
      </c>
      <c r="I78" s="21" t="s">
        <v>40</v>
      </c>
      <c r="J78" s="24" t="s">
        <v>594</v>
      </c>
      <c r="K78" s="25"/>
      <c r="L78" s="22" t="s">
        <v>58</v>
      </c>
      <c r="M78" s="21" t="s">
        <v>59</v>
      </c>
      <c r="N78" s="25"/>
      <c r="O78" s="25" t="s">
        <v>456</v>
      </c>
      <c r="P78" s="19" t="s">
        <v>595</v>
      </c>
      <c r="Q78" s="25" t="s">
        <v>145</v>
      </c>
      <c r="R78" s="25" t="s">
        <v>89</v>
      </c>
      <c r="S78" s="16" t="s">
        <v>48</v>
      </c>
      <c r="T78" s="29">
        <v>3115734621</v>
      </c>
      <c r="U78" s="29">
        <v>3115734621</v>
      </c>
      <c r="V78" s="19" t="s">
        <v>596</v>
      </c>
      <c r="W78">
        <f>WEEKNUM(E78)</f>
        <v>30</v>
      </c>
      <c r="X78">
        <f>MONTH(E78)</f>
        <v>7</v>
      </c>
      <c r="Y78">
        <f>YEAR(E78)</f>
        <v>2026</v>
      </c>
      <c r="Z78" t="str">
        <f>_xlfn.CONCAT(W78,"-",Y78)</f>
        <v>30-2026</v>
      </c>
      <c r="AA78" t="s">
        <v>51</v>
      </c>
      <c r="AE78" t="s">
        <v>53</v>
      </c>
      <c r="AF78">
        <v>2</v>
      </c>
      <c r="AG78" t="s">
        <v>286</v>
      </c>
    </row>
    <row r="79" spans="1:36" ht="29.1">
      <c r="A79" s="16">
        <v>3690383</v>
      </c>
      <c r="B79" s="16" t="s">
        <v>555</v>
      </c>
      <c r="C79" s="16" t="s">
        <v>556</v>
      </c>
      <c r="D79" s="30">
        <v>46228</v>
      </c>
      <c r="E79" s="27">
        <v>46228</v>
      </c>
      <c r="F79" s="28">
        <v>0.38124999999999998</v>
      </c>
      <c r="G79" s="16">
        <v>2026</v>
      </c>
      <c r="H79" s="16" t="s">
        <v>39</v>
      </c>
      <c r="I79" s="21" t="s">
        <v>40</v>
      </c>
      <c r="J79" s="24" t="s">
        <v>597</v>
      </c>
      <c r="K79" s="25"/>
      <c r="L79" s="22" t="s">
        <v>42</v>
      </c>
      <c r="M79" s="21" t="s">
        <v>598</v>
      </c>
      <c r="N79" s="25" t="s">
        <v>599</v>
      </c>
      <c r="O79" s="25" t="s">
        <v>409</v>
      </c>
      <c r="P79" s="19" t="s">
        <v>600</v>
      </c>
      <c r="Q79" s="25" t="s">
        <v>548</v>
      </c>
      <c r="R79" s="25" t="s">
        <v>89</v>
      </c>
      <c r="S79" s="16" t="s">
        <v>90</v>
      </c>
      <c r="T79" s="29">
        <v>3184196150</v>
      </c>
      <c r="U79" s="29" t="s">
        <v>388</v>
      </c>
      <c r="V79" s="19" t="s">
        <v>601</v>
      </c>
      <c r="W79">
        <f>WEEKNUM(E79)</f>
        <v>30</v>
      </c>
      <c r="X79">
        <f>MONTH(E79)</f>
        <v>7</v>
      </c>
      <c r="Y79">
        <f>YEAR(E79)</f>
        <v>2026</v>
      </c>
      <c r="Z79" t="str">
        <f>_xlfn.CONCAT(W79,"-",Y79)</f>
        <v>30-2026</v>
      </c>
      <c r="AA79" t="s">
        <v>51</v>
      </c>
      <c r="AE79" t="s">
        <v>113</v>
      </c>
      <c r="AF79">
        <v>2</v>
      </c>
      <c r="AH79" t="s">
        <v>170</v>
      </c>
    </row>
    <row r="80" spans="1:36" ht="26.1" customHeight="1">
      <c r="A80" s="16">
        <v>3690504</v>
      </c>
      <c r="B80" s="16" t="s">
        <v>602</v>
      </c>
      <c r="C80" s="16" t="s">
        <v>603</v>
      </c>
      <c r="D80" s="30">
        <v>46228</v>
      </c>
      <c r="E80" s="27">
        <v>46228</v>
      </c>
      <c r="F80" s="28">
        <v>0.56319444444444444</v>
      </c>
      <c r="G80" s="16">
        <v>2026</v>
      </c>
      <c r="H80" s="16" t="s">
        <v>39</v>
      </c>
      <c r="I80" s="21" t="s">
        <v>40</v>
      </c>
      <c r="J80" s="24" t="s">
        <v>604</v>
      </c>
      <c r="K80" s="25" t="s">
        <v>605</v>
      </c>
      <c r="L80" s="22" t="s">
        <v>58</v>
      </c>
      <c r="M80" s="21" t="s">
        <v>59</v>
      </c>
      <c r="N80" s="25" t="s">
        <v>606</v>
      </c>
      <c r="O80" s="25" t="s">
        <v>456</v>
      </c>
      <c r="P80" s="19" t="s">
        <v>607</v>
      </c>
      <c r="Q80" s="25" t="s">
        <v>46</v>
      </c>
      <c r="R80" s="25" t="s">
        <v>89</v>
      </c>
      <c r="S80" s="16" t="s">
        <v>48</v>
      </c>
      <c r="T80" s="29">
        <v>3142980570</v>
      </c>
      <c r="U80" s="29" t="s">
        <v>388</v>
      </c>
      <c r="V80" s="19" t="s">
        <v>608</v>
      </c>
      <c r="W80">
        <f>WEEKNUM(E80)</f>
        <v>30</v>
      </c>
      <c r="X80">
        <f>MONTH(E80)</f>
        <v>7</v>
      </c>
      <c r="Y80">
        <f>YEAR(E80)</f>
        <v>2026</v>
      </c>
      <c r="Z80" t="str">
        <f>_xlfn.CONCAT(W80,"-",Y80)</f>
        <v>30-2026</v>
      </c>
      <c r="AA80" t="s">
        <v>51</v>
      </c>
      <c r="AE80" t="s">
        <v>70</v>
      </c>
      <c r="AF80">
        <v>2</v>
      </c>
      <c r="AH80" t="s">
        <v>94</v>
      </c>
    </row>
    <row r="81" spans="1:34" ht="29.1">
      <c r="A81" s="16">
        <v>3690509</v>
      </c>
      <c r="B81" s="16" t="s">
        <v>609</v>
      </c>
      <c r="C81" s="16" t="s">
        <v>610</v>
      </c>
      <c r="D81" s="30">
        <v>46228</v>
      </c>
      <c r="E81" s="27">
        <v>46228</v>
      </c>
      <c r="F81" s="28">
        <v>0.57777777777777772</v>
      </c>
      <c r="G81" s="16">
        <v>2026</v>
      </c>
      <c r="H81" s="16" t="s">
        <v>39</v>
      </c>
      <c r="I81" s="21" t="s">
        <v>40</v>
      </c>
      <c r="J81" s="24" t="s">
        <v>611</v>
      </c>
      <c r="K81" s="25"/>
      <c r="L81" s="22" t="s">
        <v>77</v>
      </c>
      <c r="M81" s="21" t="s">
        <v>598</v>
      </c>
      <c r="N81" s="25" t="s">
        <v>612</v>
      </c>
      <c r="O81" s="25" t="s">
        <v>436</v>
      </c>
      <c r="P81" s="19" t="s">
        <v>613</v>
      </c>
      <c r="Q81" s="25" t="s">
        <v>46</v>
      </c>
      <c r="R81" s="25" t="s">
        <v>47</v>
      </c>
      <c r="S81" s="16" t="s">
        <v>146</v>
      </c>
      <c r="T81" s="29">
        <v>3214953993</v>
      </c>
      <c r="U81" s="29"/>
      <c r="V81" s="19" t="s">
        <v>614</v>
      </c>
      <c r="W81">
        <f>WEEKNUM(E81)</f>
        <v>30</v>
      </c>
      <c r="X81">
        <f>MONTH(E81)</f>
        <v>7</v>
      </c>
      <c r="Y81">
        <f>YEAR(E81)</f>
        <v>2026</v>
      </c>
      <c r="Z81" t="str">
        <f>_xlfn.CONCAT(W81,"-",Y81)</f>
        <v>30-2026</v>
      </c>
      <c r="AA81" t="s">
        <v>51</v>
      </c>
      <c r="AE81" t="s">
        <v>113</v>
      </c>
      <c r="AF81">
        <v>2</v>
      </c>
      <c r="AH81" t="s">
        <v>94</v>
      </c>
    </row>
    <row r="82" spans="1:34" ht="29.1">
      <c r="A82" s="16">
        <v>3690581</v>
      </c>
      <c r="B82" s="16" t="s">
        <v>367</v>
      </c>
      <c r="C82" s="16" t="s">
        <v>368</v>
      </c>
      <c r="D82" s="30">
        <v>46228</v>
      </c>
      <c r="E82" s="27">
        <v>46228</v>
      </c>
      <c r="F82" s="28">
        <v>0.75416666666666665</v>
      </c>
      <c r="G82" s="16">
        <v>2026</v>
      </c>
      <c r="H82" s="16" t="s">
        <v>39</v>
      </c>
      <c r="I82" s="21" t="s">
        <v>40</v>
      </c>
      <c r="J82" s="24" t="s">
        <v>615</v>
      </c>
      <c r="K82" s="25"/>
      <c r="L82" s="22" t="s">
        <v>58</v>
      </c>
      <c r="M82" s="21" t="s">
        <v>59</v>
      </c>
      <c r="N82" s="25" t="s">
        <v>616</v>
      </c>
      <c r="O82" s="25" t="s">
        <v>456</v>
      </c>
      <c r="P82" s="19" t="s">
        <v>617</v>
      </c>
      <c r="Q82" s="25" t="s">
        <v>548</v>
      </c>
      <c r="R82" s="25" t="s">
        <v>47</v>
      </c>
      <c r="S82" s="16" t="s">
        <v>416</v>
      </c>
      <c r="T82" s="29">
        <v>3176427845</v>
      </c>
      <c r="U82" s="29" t="s">
        <v>423</v>
      </c>
      <c r="V82" s="19" t="s">
        <v>618</v>
      </c>
      <c r="W82">
        <f>WEEKNUM(E82)</f>
        <v>30</v>
      </c>
      <c r="X82">
        <f>MONTH(E82)</f>
        <v>7</v>
      </c>
      <c r="Y82">
        <f>YEAR(E82)</f>
        <v>2026</v>
      </c>
      <c r="Z82" t="str">
        <f>_xlfn.CONCAT(W82,"-",Y82)</f>
        <v>30-2026</v>
      </c>
      <c r="AA82" t="s">
        <v>51</v>
      </c>
      <c r="AE82" t="s">
        <v>70</v>
      </c>
      <c r="AF82">
        <v>2</v>
      </c>
      <c r="AH82" t="s">
        <v>94</v>
      </c>
    </row>
    <row r="83" spans="1:34" ht="29.1">
      <c r="A83" s="16">
        <v>3690583</v>
      </c>
      <c r="B83" s="16" t="s">
        <v>367</v>
      </c>
      <c r="C83" s="16" t="s">
        <v>368</v>
      </c>
      <c r="D83" s="30">
        <v>46228</v>
      </c>
      <c r="E83" s="27">
        <v>46228</v>
      </c>
      <c r="F83" s="28">
        <v>0.75902777777777775</v>
      </c>
      <c r="G83" s="16">
        <v>2026</v>
      </c>
      <c r="H83" s="16" t="s">
        <v>39</v>
      </c>
      <c r="I83" s="21" t="s">
        <v>40</v>
      </c>
      <c r="J83" s="24" t="s">
        <v>619</v>
      </c>
      <c r="K83" s="25"/>
      <c r="L83" s="22" t="s">
        <v>58</v>
      </c>
      <c r="M83" s="21" t="s">
        <v>59</v>
      </c>
      <c r="N83" s="25" t="s">
        <v>620</v>
      </c>
      <c r="O83" s="25" t="s">
        <v>456</v>
      </c>
      <c r="P83" s="19" t="s">
        <v>621</v>
      </c>
      <c r="Q83" s="25" t="s">
        <v>46</v>
      </c>
      <c r="R83" s="25" t="s">
        <v>89</v>
      </c>
      <c r="S83" s="16" t="s">
        <v>48</v>
      </c>
      <c r="T83" s="29">
        <v>3125357136</v>
      </c>
      <c r="U83" s="29" t="s">
        <v>423</v>
      </c>
      <c r="V83" s="19" t="s">
        <v>622</v>
      </c>
      <c r="W83">
        <f>WEEKNUM(E83)</f>
        <v>30</v>
      </c>
      <c r="X83">
        <f>MONTH(E83)</f>
        <v>7</v>
      </c>
      <c r="Y83">
        <f>YEAR(E83)</f>
        <v>2026</v>
      </c>
      <c r="Z83" t="str">
        <f>_xlfn.CONCAT(W83,"-",Y83)</f>
        <v>30-2026</v>
      </c>
      <c r="AA83" t="s">
        <v>51</v>
      </c>
      <c r="AE83" t="s">
        <v>70</v>
      </c>
      <c r="AF83">
        <v>2</v>
      </c>
      <c r="AH83" t="s">
        <v>170</v>
      </c>
    </row>
    <row r="84" spans="1:34" ht="29.1">
      <c r="A84" s="16">
        <v>3690591</v>
      </c>
      <c r="B84" s="16" t="s">
        <v>367</v>
      </c>
      <c r="C84" s="16" t="s">
        <v>368</v>
      </c>
      <c r="D84" s="30">
        <v>46228</v>
      </c>
      <c r="E84" s="27">
        <v>46228</v>
      </c>
      <c r="F84" s="28">
        <v>0.76527777777777772</v>
      </c>
      <c r="G84" s="16">
        <v>2026</v>
      </c>
      <c r="H84" s="16" t="s">
        <v>39</v>
      </c>
      <c r="I84" s="21" t="s">
        <v>40</v>
      </c>
      <c r="J84" s="24" t="s">
        <v>623</v>
      </c>
      <c r="K84" s="25"/>
      <c r="L84" s="22" t="s">
        <v>58</v>
      </c>
      <c r="M84" s="21" t="s">
        <v>59</v>
      </c>
      <c r="N84" s="25" t="s">
        <v>624</v>
      </c>
      <c r="O84" s="25" t="s">
        <v>456</v>
      </c>
      <c r="P84" s="19" t="s">
        <v>625</v>
      </c>
      <c r="Q84" s="25" t="s">
        <v>145</v>
      </c>
      <c r="R84" s="25" t="s">
        <v>47</v>
      </c>
      <c r="S84" s="16" t="s">
        <v>146</v>
      </c>
      <c r="T84" s="29">
        <v>3118918691</v>
      </c>
      <c r="U84" s="29" t="s">
        <v>423</v>
      </c>
      <c r="V84" s="19" t="s">
        <v>626</v>
      </c>
      <c r="W84">
        <f>WEEKNUM(E84)</f>
        <v>30</v>
      </c>
      <c r="X84">
        <f>MONTH(E84)</f>
        <v>7</v>
      </c>
      <c r="Y84">
        <f>YEAR(E84)</f>
        <v>2026</v>
      </c>
      <c r="Z84" t="str">
        <f>_xlfn.CONCAT(W84,"-",Y84)</f>
        <v>30-2026</v>
      </c>
      <c r="AA84" t="s">
        <v>51</v>
      </c>
      <c r="AE84" t="s">
        <v>113</v>
      </c>
      <c r="AF84">
        <v>2</v>
      </c>
      <c r="AH84" t="s">
        <v>71</v>
      </c>
    </row>
    <row r="85" spans="1:34" ht="29.1">
      <c r="A85" s="16">
        <v>3690617</v>
      </c>
      <c r="B85" s="16" t="s">
        <v>358</v>
      </c>
      <c r="C85" s="16" t="s">
        <v>359</v>
      </c>
      <c r="D85" s="30">
        <v>46228</v>
      </c>
      <c r="E85" s="27">
        <v>46228</v>
      </c>
      <c r="F85" s="28">
        <v>0.81041666666666667</v>
      </c>
      <c r="G85" s="16">
        <v>2026</v>
      </c>
      <c r="H85" s="16" t="s">
        <v>39</v>
      </c>
      <c r="I85" s="21" t="s">
        <v>40</v>
      </c>
      <c r="J85" s="24" t="s">
        <v>627</v>
      </c>
      <c r="K85" s="25"/>
      <c r="L85" s="22" t="s">
        <v>77</v>
      </c>
      <c r="M85" s="21" t="s">
        <v>598</v>
      </c>
      <c r="N85" s="25" t="s">
        <v>628</v>
      </c>
      <c r="O85" s="25" t="s">
        <v>456</v>
      </c>
      <c r="P85" s="19"/>
      <c r="Q85" s="25" t="s">
        <v>46</v>
      </c>
      <c r="R85" s="25" t="s">
        <v>47</v>
      </c>
      <c r="S85" s="16" t="s">
        <v>48</v>
      </c>
      <c r="T85" s="29">
        <v>3178928902</v>
      </c>
      <c r="U85" s="29" t="s">
        <v>629</v>
      </c>
      <c r="V85" s="19" t="s">
        <v>630</v>
      </c>
      <c r="W85">
        <f>WEEKNUM(E85)</f>
        <v>30</v>
      </c>
      <c r="X85">
        <f>MONTH(E85)</f>
        <v>7</v>
      </c>
      <c r="Y85">
        <f>YEAR(E85)</f>
        <v>2026</v>
      </c>
      <c r="Z85" t="str">
        <f>_xlfn.CONCAT(W85,"-",Y85)</f>
        <v>30-2026</v>
      </c>
      <c r="AA85" t="s">
        <v>51</v>
      </c>
      <c r="AE85" t="s">
        <v>113</v>
      </c>
      <c r="AF85">
        <v>2</v>
      </c>
      <c r="AH85" t="s">
        <v>94</v>
      </c>
    </row>
    <row r="86" spans="1:34" ht="29.1">
      <c r="A86" s="16">
        <v>3690627</v>
      </c>
      <c r="B86" s="16" t="s">
        <v>358</v>
      </c>
      <c r="C86" s="16" t="s">
        <v>359</v>
      </c>
      <c r="D86" s="30">
        <v>46228</v>
      </c>
      <c r="E86" s="27">
        <v>46228</v>
      </c>
      <c r="F86" s="28">
        <v>0.87291666666666667</v>
      </c>
      <c r="G86" s="16">
        <v>2026</v>
      </c>
      <c r="H86" s="16" t="s">
        <v>39</v>
      </c>
      <c r="I86" s="21" t="s">
        <v>40</v>
      </c>
      <c r="J86" s="24" t="s">
        <v>631</v>
      </c>
      <c r="K86" s="25"/>
      <c r="L86" s="22" t="s">
        <v>77</v>
      </c>
      <c r="M86" s="21" t="s">
        <v>598</v>
      </c>
      <c r="N86" s="25" t="s">
        <v>632</v>
      </c>
      <c r="O86" s="25" t="s">
        <v>456</v>
      </c>
      <c r="P86" s="19" t="s">
        <v>633</v>
      </c>
      <c r="Q86" s="25" t="s">
        <v>145</v>
      </c>
      <c r="R86" s="25" t="s">
        <v>89</v>
      </c>
      <c r="S86" s="16" t="s">
        <v>146</v>
      </c>
      <c r="T86" s="29" t="s">
        <v>634</v>
      </c>
      <c r="U86" s="29" t="s">
        <v>635</v>
      </c>
      <c r="V86" s="19" t="s">
        <v>636</v>
      </c>
      <c r="W86">
        <f>WEEKNUM(E86)</f>
        <v>30</v>
      </c>
      <c r="X86">
        <f>MONTH(E86)</f>
        <v>7</v>
      </c>
      <c r="Y86">
        <f>YEAR(E86)</f>
        <v>2026</v>
      </c>
      <c r="Z86" t="str">
        <f>_xlfn.CONCAT(W86,"-",Y86)</f>
        <v>30-2026</v>
      </c>
      <c r="AA86" t="s">
        <v>51</v>
      </c>
      <c r="AE86" t="s">
        <v>113</v>
      </c>
      <c r="AF86">
        <v>2</v>
      </c>
      <c r="AH86" t="s">
        <v>71</v>
      </c>
    </row>
    <row r="87" spans="1:34" ht="29.1">
      <c r="A87" s="16">
        <v>3690630</v>
      </c>
      <c r="B87" s="16" t="s">
        <v>358</v>
      </c>
      <c r="C87" s="16" t="s">
        <v>359</v>
      </c>
      <c r="D87" s="30">
        <v>46228</v>
      </c>
      <c r="E87" s="27">
        <v>46228</v>
      </c>
      <c r="F87" s="28">
        <v>0.87777777777777777</v>
      </c>
      <c r="G87" s="16">
        <v>2026</v>
      </c>
      <c r="H87" s="16" t="s">
        <v>39</v>
      </c>
      <c r="I87" s="21" t="s">
        <v>40</v>
      </c>
      <c r="J87" s="24" t="s">
        <v>637</v>
      </c>
      <c r="K87" s="25"/>
      <c r="L87" s="22" t="s">
        <v>77</v>
      </c>
      <c r="M87" s="21" t="s">
        <v>598</v>
      </c>
      <c r="N87" s="25" t="s">
        <v>638</v>
      </c>
      <c r="O87" s="25" t="s">
        <v>456</v>
      </c>
      <c r="P87" s="19" t="s">
        <v>639</v>
      </c>
      <c r="Q87" s="25" t="s">
        <v>145</v>
      </c>
      <c r="R87" s="25" t="s">
        <v>89</v>
      </c>
      <c r="S87" s="16" t="s">
        <v>146</v>
      </c>
      <c r="T87" s="29" t="s">
        <v>640</v>
      </c>
      <c r="U87" s="29" t="s">
        <v>423</v>
      </c>
      <c r="V87" s="19" t="s">
        <v>641</v>
      </c>
      <c r="W87">
        <f>WEEKNUM(E87)</f>
        <v>30</v>
      </c>
      <c r="X87">
        <f>MONTH(E87)</f>
        <v>7</v>
      </c>
      <c r="Y87">
        <f>YEAR(E87)</f>
        <v>2026</v>
      </c>
      <c r="Z87" t="str">
        <f>_xlfn.CONCAT(W87,"-",Y87)</f>
        <v>30-2026</v>
      </c>
      <c r="AA87" t="s">
        <v>51</v>
      </c>
      <c r="AE87" t="s">
        <v>113</v>
      </c>
      <c r="AF87">
        <v>2</v>
      </c>
      <c r="AH87" t="s">
        <v>71</v>
      </c>
    </row>
    <row r="88" spans="1:34" ht="29.1">
      <c r="A88" s="16">
        <v>3690631</v>
      </c>
      <c r="B88" s="16" t="s">
        <v>358</v>
      </c>
      <c r="C88" s="16" t="s">
        <v>359</v>
      </c>
      <c r="D88" s="30">
        <v>46228</v>
      </c>
      <c r="E88" s="27">
        <v>46228</v>
      </c>
      <c r="F88" s="28">
        <v>0.8881944444444444</v>
      </c>
      <c r="G88" s="16">
        <v>2026</v>
      </c>
      <c r="H88" s="16" t="s">
        <v>39</v>
      </c>
      <c r="I88" s="21" t="s">
        <v>40</v>
      </c>
      <c r="J88" s="24" t="s">
        <v>642</v>
      </c>
      <c r="K88" s="25"/>
      <c r="L88" s="22" t="s">
        <v>77</v>
      </c>
      <c r="M88" s="21" t="s">
        <v>78</v>
      </c>
      <c r="N88" s="25" t="s">
        <v>643</v>
      </c>
      <c r="O88" s="25" t="s">
        <v>456</v>
      </c>
      <c r="P88" s="19" t="s">
        <v>644</v>
      </c>
      <c r="Q88" s="25" t="s">
        <v>46</v>
      </c>
      <c r="R88" s="25" t="s">
        <v>89</v>
      </c>
      <c r="S88" s="16" t="s">
        <v>48</v>
      </c>
      <c r="T88" s="29">
        <v>3105050992</v>
      </c>
      <c r="U88" s="29" t="s">
        <v>423</v>
      </c>
      <c r="V88" s="19" t="s">
        <v>645</v>
      </c>
      <c r="W88">
        <f>WEEKNUM(E88)</f>
        <v>30</v>
      </c>
      <c r="X88">
        <f>MONTH(E88)</f>
        <v>7</v>
      </c>
      <c r="Y88">
        <f>YEAR(E88)</f>
        <v>2026</v>
      </c>
      <c r="Z88" t="str">
        <f>_xlfn.CONCAT(W88,"-",Y88)</f>
        <v>30-2026</v>
      </c>
      <c r="AA88" t="s">
        <v>51</v>
      </c>
      <c r="AE88" t="s">
        <v>113</v>
      </c>
      <c r="AF88">
        <v>2</v>
      </c>
      <c r="AH88" t="s">
        <v>170</v>
      </c>
    </row>
    <row r="89" spans="1:34" ht="29.1">
      <c r="A89" s="16">
        <v>3693642</v>
      </c>
      <c r="B89" s="16" t="s">
        <v>538</v>
      </c>
      <c r="C89" s="16" t="s">
        <v>539</v>
      </c>
      <c r="D89" s="30">
        <v>46229</v>
      </c>
      <c r="E89" s="27">
        <v>46229</v>
      </c>
      <c r="F89" s="28">
        <v>0.71527777777777779</v>
      </c>
      <c r="G89" s="16">
        <v>2026</v>
      </c>
      <c r="H89" s="16" t="s">
        <v>39</v>
      </c>
      <c r="I89" s="21" t="s">
        <v>40</v>
      </c>
      <c r="J89" s="24" t="s">
        <v>646</v>
      </c>
      <c r="K89" s="25"/>
      <c r="L89" s="22" t="s">
        <v>77</v>
      </c>
      <c r="M89" s="21" t="s">
        <v>78</v>
      </c>
      <c r="N89" s="25" t="s">
        <v>647</v>
      </c>
      <c r="O89" s="25" t="s">
        <v>436</v>
      </c>
      <c r="P89" s="19" t="s">
        <v>648</v>
      </c>
      <c r="Q89" s="25" t="s">
        <v>46</v>
      </c>
      <c r="R89" s="25" t="s">
        <v>89</v>
      </c>
      <c r="S89" s="16" t="s">
        <v>48</v>
      </c>
      <c r="T89" s="29">
        <v>3122972656</v>
      </c>
      <c r="U89" s="29">
        <v>3122972656</v>
      </c>
      <c r="V89" s="19" t="s">
        <v>649</v>
      </c>
      <c r="W89">
        <f>WEEKNUM(E89)</f>
        <v>31</v>
      </c>
      <c r="X89">
        <f>MONTH(E89)</f>
        <v>7</v>
      </c>
      <c r="Y89">
        <f>YEAR(E89)</f>
        <v>2026</v>
      </c>
      <c r="Z89" t="str">
        <f>_xlfn.CONCAT(W89,"-",Y89)</f>
        <v>31-2026</v>
      </c>
      <c r="AA89" t="s">
        <v>51</v>
      </c>
      <c r="AF89">
        <v>3</v>
      </c>
      <c r="AH89" t="s">
        <v>71</v>
      </c>
    </row>
    <row r="90" spans="1:34" ht="33" customHeight="1">
      <c r="A90" s="16">
        <v>3696824</v>
      </c>
      <c r="B90" s="16" t="s">
        <v>215</v>
      </c>
      <c r="C90" s="16" t="s">
        <v>216</v>
      </c>
      <c r="D90" s="30">
        <v>46230</v>
      </c>
      <c r="E90" s="27">
        <v>46230</v>
      </c>
      <c r="F90" s="28">
        <v>0.41805555555555557</v>
      </c>
      <c r="G90" s="16">
        <v>2026</v>
      </c>
      <c r="H90" s="16" t="s">
        <v>39</v>
      </c>
      <c r="I90" s="21" t="s">
        <v>40</v>
      </c>
      <c r="J90" s="24" t="s">
        <v>650</v>
      </c>
      <c r="K90" s="25"/>
      <c r="L90" s="22" t="s">
        <v>58</v>
      </c>
      <c r="M90" s="21" t="s">
        <v>59</v>
      </c>
      <c r="N90" s="25" t="s">
        <v>651</v>
      </c>
      <c r="O90" s="25" t="s">
        <v>409</v>
      </c>
      <c r="P90" s="19" t="s">
        <v>652</v>
      </c>
      <c r="Q90" s="25" t="s">
        <v>548</v>
      </c>
      <c r="R90" s="25" t="s">
        <v>47</v>
      </c>
      <c r="S90" s="16" t="s">
        <v>48</v>
      </c>
      <c r="T90" s="29" t="s">
        <v>653</v>
      </c>
      <c r="U90" s="29" t="s">
        <v>221</v>
      </c>
      <c r="V90" s="19" t="s">
        <v>654</v>
      </c>
      <c r="W90">
        <f>WEEKNUM(E90)</f>
        <v>31</v>
      </c>
      <c r="X90">
        <f>MONTH(E90)</f>
        <v>7</v>
      </c>
      <c r="Y90">
        <f>YEAR(E90)</f>
        <v>2026</v>
      </c>
      <c r="Z90" t="str">
        <f>_xlfn.CONCAT(W90,"-",Y90)</f>
        <v>31-2026</v>
      </c>
      <c r="AA90" t="s">
        <v>51</v>
      </c>
      <c r="AF90">
        <v>3</v>
      </c>
      <c r="AH90" t="s">
        <v>71</v>
      </c>
    </row>
    <row r="91" spans="1:34" ht="29.1">
      <c r="A91" s="16">
        <v>3696844</v>
      </c>
      <c r="B91" s="16" t="s">
        <v>215</v>
      </c>
      <c r="C91" s="16" t="s">
        <v>216</v>
      </c>
      <c r="D91" s="30">
        <v>46230</v>
      </c>
      <c r="E91" s="27">
        <v>46230</v>
      </c>
      <c r="F91" s="28">
        <v>0.42569444444444443</v>
      </c>
      <c r="G91" s="16">
        <v>2026</v>
      </c>
      <c r="H91" s="16" t="s">
        <v>39</v>
      </c>
      <c r="I91" s="21" t="s">
        <v>40</v>
      </c>
      <c r="J91" s="24" t="s">
        <v>655</v>
      </c>
      <c r="K91" s="25"/>
      <c r="L91" s="22" t="s">
        <v>58</v>
      </c>
      <c r="M91" s="21" t="s">
        <v>59</v>
      </c>
      <c r="N91" s="25" t="s">
        <v>656</v>
      </c>
      <c r="O91" s="25" t="s">
        <v>409</v>
      </c>
      <c r="P91" s="19" t="s">
        <v>657</v>
      </c>
      <c r="Q91" s="25" t="s">
        <v>548</v>
      </c>
      <c r="R91" s="25" t="s">
        <v>89</v>
      </c>
      <c r="S91" s="16" t="s">
        <v>48</v>
      </c>
      <c r="T91" s="29" t="s">
        <v>658</v>
      </c>
      <c r="U91" s="29" t="s">
        <v>221</v>
      </c>
      <c r="V91" s="19" t="s">
        <v>659</v>
      </c>
      <c r="W91">
        <f>WEEKNUM(E91)</f>
        <v>31</v>
      </c>
      <c r="X91">
        <f>MONTH(E91)</f>
        <v>7</v>
      </c>
      <c r="Y91">
        <f>YEAR(E91)</f>
        <v>2026</v>
      </c>
      <c r="Z91" t="str">
        <f>_xlfn.CONCAT(W91,"-",Y91)</f>
        <v>31-2026</v>
      </c>
      <c r="AA91" t="s">
        <v>51</v>
      </c>
      <c r="AF91">
        <v>3</v>
      </c>
      <c r="AH91" t="s">
        <v>71</v>
      </c>
    </row>
    <row r="92" spans="1:34" ht="29.1">
      <c r="A92" s="16">
        <v>3696848</v>
      </c>
      <c r="B92" s="16" t="s">
        <v>215</v>
      </c>
      <c r="C92" s="16" t="s">
        <v>216</v>
      </c>
      <c r="D92" s="30">
        <v>46230</v>
      </c>
      <c r="E92" s="27">
        <v>46230</v>
      </c>
      <c r="F92" s="28">
        <v>0.43055555555555558</v>
      </c>
      <c r="G92" s="16">
        <v>2026</v>
      </c>
      <c r="H92" s="16" t="s">
        <v>39</v>
      </c>
      <c r="I92" s="21" t="s">
        <v>40</v>
      </c>
      <c r="J92" s="24" t="s">
        <v>660</v>
      </c>
      <c r="K92" s="25" t="s">
        <v>661</v>
      </c>
      <c r="L92" s="22" t="s">
        <v>58</v>
      </c>
      <c r="M92" s="21" t="s">
        <v>59</v>
      </c>
      <c r="N92" s="25" t="s">
        <v>662</v>
      </c>
      <c r="O92" s="25" t="s">
        <v>409</v>
      </c>
      <c r="P92" s="19" t="s">
        <v>663</v>
      </c>
      <c r="Q92" s="25" t="s">
        <v>46</v>
      </c>
      <c r="R92" s="25" t="s">
        <v>47</v>
      </c>
      <c r="S92" s="16" t="s">
        <v>146</v>
      </c>
      <c r="T92" s="29" t="s">
        <v>664</v>
      </c>
      <c r="U92" s="29" t="s">
        <v>221</v>
      </c>
      <c r="V92" s="19" t="s">
        <v>665</v>
      </c>
      <c r="W92">
        <f>WEEKNUM(E92)</f>
        <v>31</v>
      </c>
      <c r="X92">
        <f>MONTH(E92)</f>
        <v>7</v>
      </c>
      <c r="Y92">
        <f>YEAR(E92)</f>
        <v>2026</v>
      </c>
      <c r="Z92" t="str">
        <f>_xlfn.CONCAT(W92,"-",Y92)</f>
        <v>31-2026</v>
      </c>
      <c r="AA92" t="s">
        <v>51</v>
      </c>
      <c r="AF92">
        <v>3</v>
      </c>
      <c r="AH92" t="s">
        <v>94</v>
      </c>
    </row>
    <row r="93" spans="1:34" ht="29.1">
      <c r="A93" s="16">
        <v>3696850</v>
      </c>
      <c r="B93" s="16" t="s">
        <v>215</v>
      </c>
      <c r="C93" s="16" t="s">
        <v>216</v>
      </c>
      <c r="D93" s="30">
        <v>46230</v>
      </c>
      <c r="E93" s="27">
        <v>46230</v>
      </c>
      <c r="F93" s="28">
        <v>0.43402777777777779</v>
      </c>
      <c r="G93" s="16">
        <v>2026</v>
      </c>
      <c r="H93" s="16" t="s">
        <v>39</v>
      </c>
      <c r="I93" s="21" t="s">
        <v>40</v>
      </c>
      <c r="J93" s="24" t="s">
        <v>666</v>
      </c>
      <c r="K93" s="25"/>
      <c r="L93" s="22" t="s">
        <v>58</v>
      </c>
      <c r="M93" s="21" t="s">
        <v>59</v>
      </c>
      <c r="N93" s="25" t="s">
        <v>667</v>
      </c>
      <c r="O93" s="25" t="s">
        <v>409</v>
      </c>
      <c r="P93" s="19" t="s">
        <v>668</v>
      </c>
      <c r="Q93" s="25" t="s">
        <v>46</v>
      </c>
      <c r="R93" s="25" t="s">
        <v>89</v>
      </c>
      <c r="S93" s="16" t="s">
        <v>48</v>
      </c>
      <c r="T93" s="29">
        <v>3105726862</v>
      </c>
      <c r="U93" s="29" t="s">
        <v>221</v>
      </c>
      <c r="V93" s="19" t="s">
        <v>669</v>
      </c>
      <c r="W93">
        <f>WEEKNUM(E93)</f>
        <v>31</v>
      </c>
      <c r="X93">
        <f>MONTH(E93)</f>
        <v>7</v>
      </c>
      <c r="Y93">
        <f>YEAR(E93)</f>
        <v>2026</v>
      </c>
      <c r="Z93" t="str">
        <f>_xlfn.CONCAT(W93,"-",Y93)</f>
        <v>31-2026</v>
      </c>
      <c r="AA93" t="s">
        <v>179</v>
      </c>
      <c r="AD93" t="s">
        <v>670</v>
      </c>
      <c r="AF93">
        <v>3</v>
      </c>
      <c r="AH93" t="s">
        <v>170</v>
      </c>
    </row>
    <row r="94" spans="1:34" ht="28.5" customHeight="1">
      <c r="A94" s="16">
        <v>3696960</v>
      </c>
      <c r="B94" s="16" t="s">
        <v>404</v>
      </c>
      <c r="C94" s="16"/>
      <c r="D94" s="30">
        <v>46230</v>
      </c>
      <c r="E94" s="27">
        <v>46230</v>
      </c>
      <c r="F94" s="28">
        <v>0.51458333333333328</v>
      </c>
      <c r="G94" s="16">
        <v>2026</v>
      </c>
      <c r="H94" s="16" t="s">
        <v>39</v>
      </c>
      <c r="I94" s="21" t="s">
        <v>40</v>
      </c>
      <c r="J94" s="24" t="s">
        <v>671</v>
      </c>
      <c r="K94" s="25"/>
      <c r="L94" s="22" t="s">
        <v>58</v>
      </c>
      <c r="M94" s="21" t="s">
        <v>59</v>
      </c>
      <c r="N94" s="25" t="s">
        <v>672</v>
      </c>
      <c r="O94" s="25" t="s">
        <v>409</v>
      </c>
      <c r="P94" s="19" t="s">
        <v>673</v>
      </c>
      <c r="Q94" s="25" t="s">
        <v>46</v>
      </c>
      <c r="R94" s="25" t="s">
        <v>47</v>
      </c>
      <c r="S94" s="16" t="s">
        <v>110</v>
      </c>
      <c r="T94" s="29">
        <v>3102275656</v>
      </c>
      <c r="U94" s="29" t="s">
        <v>674</v>
      </c>
      <c r="V94" s="19" t="s">
        <v>675</v>
      </c>
      <c r="W94">
        <f>WEEKNUM(E94)</f>
        <v>31</v>
      </c>
      <c r="X94">
        <f>MONTH(E94)</f>
        <v>7</v>
      </c>
      <c r="Y94">
        <f>YEAR(E94)</f>
        <v>2026</v>
      </c>
      <c r="Z94" t="str">
        <f>_xlfn.CONCAT(W94,"-",Y94)</f>
        <v>31-2026</v>
      </c>
      <c r="AA94" t="s">
        <v>51</v>
      </c>
      <c r="AF94">
        <v>3</v>
      </c>
      <c r="AH94" t="s">
        <v>170</v>
      </c>
    </row>
    <row r="95" spans="1:34" ht="30" customHeight="1">
      <c r="A95" s="16">
        <v>3696961</v>
      </c>
      <c r="B95" s="16" t="s">
        <v>404</v>
      </c>
      <c r="C95" s="16"/>
      <c r="D95" s="30">
        <v>46230</v>
      </c>
      <c r="E95" s="27">
        <v>46230</v>
      </c>
      <c r="F95" s="28">
        <v>0.5180555555555556</v>
      </c>
      <c r="G95" s="16">
        <v>2026</v>
      </c>
      <c r="H95" s="16" t="s">
        <v>39</v>
      </c>
      <c r="I95" s="21" t="s">
        <v>40</v>
      </c>
      <c r="J95" s="24" t="s">
        <v>676</v>
      </c>
      <c r="K95" s="25"/>
      <c r="L95" s="22" t="s">
        <v>58</v>
      </c>
      <c r="M95" s="21" t="s">
        <v>59</v>
      </c>
      <c r="N95" s="25" t="s">
        <v>677</v>
      </c>
      <c r="O95" s="25" t="s">
        <v>409</v>
      </c>
      <c r="P95" s="19" t="s">
        <v>678</v>
      </c>
      <c r="Q95" s="25" t="s">
        <v>46</v>
      </c>
      <c r="R95" s="25" t="s">
        <v>89</v>
      </c>
      <c r="S95" s="16" t="s">
        <v>48</v>
      </c>
      <c r="T95" s="29">
        <v>3330334242</v>
      </c>
      <c r="U95" s="29" t="s">
        <v>674</v>
      </c>
      <c r="V95" s="19" t="s">
        <v>679</v>
      </c>
      <c r="W95">
        <f>WEEKNUM(E95)</f>
        <v>31</v>
      </c>
      <c r="X95">
        <f>MONTH(E95)</f>
        <v>7</v>
      </c>
      <c r="Y95">
        <f>YEAR(E95)</f>
        <v>2026</v>
      </c>
      <c r="Z95" t="str">
        <f>_xlfn.CONCAT(W95,"-",Y95)</f>
        <v>31-2026</v>
      </c>
      <c r="AA95" t="s">
        <v>51</v>
      </c>
      <c r="AF95">
        <v>3</v>
      </c>
      <c r="AH95" t="s">
        <v>71</v>
      </c>
    </row>
    <row r="96" spans="1:34" ht="26.45" customHeight="1">
      <c r="A96" s="16">
        <v>3696979</v>
      </c>
      <c r="B96" s="16" t="s">
        <v>404</v>
      </c>
      <c r="C96" s="16"/>
      <c r="D96" s="30">
        <v>46230</v>
      </c>
      <c r="E96" s="27">
        <v>46230</v>
      </c>
      <c r="F96" s="28">
        <v>0.53402777777777777</v>
      </c>
      <c r="G96" s="16">
        <v>2026</v>
      </c>
      <c r="H96" s="16" t="s">
        <v>39</v>
      </c>
      <c r="I96" s="21" t="s">
        <v>40</v>
      </c>
      <c r="J96" s="24" t="s">
        <v>680</v>
      </c>
      <c r="K96" s="25"/>
      <c r="L96" s="22" t="s">
        <v>58</v>
      </c>
      <c r="M96" s="21" t="s">
        <v>59</v>
      </c>
      <c r="N96" s="25" t="s">
        <v>681</v>
      </c>
      <c r="O96" s="25" t="s">
        <v>409</v>
      </c>
      <c r="P96" s="19" t="s">
        <v>682</v>
      </c>
      <c r="Q96" s="25" t="s">
        <v>548</v>
      </c>
      <c r="R96" s="25" t="s">
        <v>47</v>
      </c>
      <c r="S96" s="16" t="s">
        <v>146</v>
      </c>
      <c r="T96" s="29">
        <v>3176606271</v>
      </c>
      <c r="U96" s="29" t="s">
        <v>683</v>
      </c>
      <c r="V96" s="19" t="s">
        <v>684</v>
      </c>
      <c r="W96">
        <f>WEEKNUM(E96)</f>
        <v>31</v>
      </c>
      <c r="X96">
        <f>MONTH(E96)</f>
        <v>7</v>
      </c>
      <c r="Y96">
        <f>YEAR(E96)</f>
        <v>2026</v>
      </c>
      <c r="Z96" t="str">
        <f>_xlfn.CONCAT(W96,"-",Y96)</f>
        <v>31-2026</v>
      </c>
      <c r="AA96" t="s">
        <v>51</v>
      </c>
      <c r="AF96">
        <v>3</v>
      </c>
      <c r="AH96" t="s">
        <v>94</v>
      </c>
    </row>
    <row r="97" spans="1:34" ht="24.95" customHeight="1">
      <c r="A97" s="16">
        <v>3696981</v>
      </c>
      <c r="B97" s="16" t="s">
        <v>404</v>
      </c>
      <c r="C97" s="16"/>
      <c r="D97" s="30">
        <v>46230</v>
      </c>
      <c r="E97" s="27">
        <v>46230</v>
      </c>
      <c r="F97" s="28">
        <v>0.53680555555555554</v>
      </c>
      <c r="G97" s="16">
        <v>2026</v>
      </c>
      <c r="H97" s="16" t="s">
        <v>39</v>
      </c>
      <c r="I97" s="21" t="s">
        <v>40</v>
      </c>
      <c r="J97" s="24" t="s">
        <v>685</v>
      </c>
      <c r="K97" s="25"/>
      <c r="L97" s="22" t="s">
        <v>58</v>
      </c>
      <c r="M97" s="21" t="s">
        <v>59</v>
      </c>
      <c r="N97" s="25" t="s">
        <v>686</v>
      </c>
      <c r="O97" s="25" t="s">
        <v>409</v>
      </c>
      <c r="P97" s="19" t="s">
        <v>687</v>
      </c>
      <c r="Q97" s="25" t="s">
        <v>548</v>
      </c>
      <c r="R97" s="25" t="s">
        <v>47</v>
      </c>
      <c r="S97" s="16" t="s">
        <v>48</v>
      </c>
      <c r="T97" s="29">
        <v>3125370241</v>
      </c>
      <c r="U97" s="29" t="s">
        <v>683</v>
      </c>
      <c r="V97" s="19" t="s">
        <v>688</v>
      </c>
      <c r="W97">
        <f>WEEKNUM(E97)</f>
        <v>31</v>
      </c>
      <c r="X97">
        <f>MONTH(E97)</f>
        <v>7</v>
      </c>
      <c r="Y97">
        <f>YEAR(E97)</f>
        <v>2026</v>
      </c>
      <c r="Z97" t="str">
        <f>_xlfn.CONCAT(W97,"-",Y97)</f>
        <v>31-2026</v>
      </c>
      <c r="AA97" t="s">
        <v>51</v>
      </c>
      <c r="AF97">
        <v>3</v>
      </c>
      <c r="AH97" t="s">
        <v>170</v>
      </c>
    </row>
    <row r="98" spans="1:34" ht="29.1">
      <c r="A98" s="16">
        <v>3697115</v>
      </c>
      <c r="B98" s="16" t="s">
        <v>689</v>
      </c>
      <c r="C98" s="16" t="s">
        <v>690</v>
      </c>
      <c r="D98" s="30">
        <v>46230</v>
      </c>
      <c r="E98" s="27">
        <v>46230</v>
      </c>
      <c r="F98" s="28">
        <v>0.69930555555555551</v>
      </c>
      <c r="G98" s="16">
        <v>2026</v>
      </c>
      <c r="H98" s="16" t="s">
        <v>39</v>
      </c>
      <c r="I98" s="16" t="s">
        <v>40</v>
      </c>
      <c r="J98" s="16" t="s">
        <v>691</v>
      </c>
      <c r="K98" s="16"/>
      <c r="L98" s="16" t="s">
        <v>58</v>
      </c>
      <c r="M98" s="16" t="s">
        <v>59</v>
      </c>
      <c r="N98" s="16" t="s">
        <v>692</v>
      </c>
      <c r="O98" s="16" t="s">
        <v>456</v>
      </c>
      <c r="P98" s="19" t="s">
        <v>693</v>
      </c>
      <c r="Q98" s="16" t="s">
        <v>548</v>
      </c>
      <c r="R98" s="16" t="s">
        <v>47</v>
      </c>
      <c r="S98" s="16" t="s">
        <v>48</v>
      </c>
      <c r="T98" s="31">
        <v>3123972027</v>
      </c>
      <c r="U98" s="16" t="s">
        <v>694</v>
      </c>
      <c r="V98" s="19" t="s">
        <v>695</v>
      </c>
      <c r="W98">
        <f>WEEKNUM(E98)</f>
        <v>31</v>
      </c>
      <c r="X98">
        <f>MONTH(E98)</f>
        <v>7</v>
      </c>
      <c r="Y98">
        <f>YEAR(E98)</f>
        <v>2026</v>
      </c>
      <c r="Z98" t="str">
        <f>_xlfn.CONCAT(W98,"-",Y98)</f>
        <v>31-2026</v>
      </c>
      <c r="AA98" t="s">
        <v>51</v>
      </c>
      <c r="AF98">
        <v>3</v>
      </c>
      <c r="AH98" t="s">
        <v>170</v>
      </c>
    </row>
    <row r="99" spans="1:34" ht="29.1">
      <c r="A99" s="16">
        <v>3696742</v>
      </c>
      <c r="B99" s="16" t="s">
        <v>367</v>
      </c>
      <c r="C99" s="16" t="s">
        <v>368</v>
      </c>
      <c r="D99" s="30">
        <v>46230</v>
      </c>
      <c r="E99" s="27">
        <v>46230</v>
      </c>
      <c r="F99" s="28">
        <v>0.34027777777777779</v>
      </c>
      <c r="G99" s="16">
        <v>2026</v>
      </c>
      <c r="H99" s="16" t="s">
        <v>39</v>
      </c>
      <c r="I99" s="21" t="s">
        <v>40</v>
      </c>
      <c r="J99" s="24" t="s">
        <v>696</v>
      </c>
      <c r="K99" s="25"/>
      <c r="L99" s="22" t="s">
        <v>58</v>
      </c>
      <c r="M99" s="21" t="s">
        <v>59</v>
      </c>
      <c r="N99" s="25" t="s">
        <v>697</v>
      </c>
      <c r="O99" s="25" t="s">
        <v>456</v>
      </c>
      <c r="P99" s="19" t="s">
        <v>698</v>
      </c>
      <c r="Q99" s="25" t="s">
        <v>46</v>
      </c>
      <c r="R99" s="25" t="s">
        <v>47</v>
      </c>
      <c r="S99" s="16" t="s">
        <v>48</v>
      </c>
      <c r="T99" s="29" t="s">
        <v>699</v>
      </c>
      <c r="U99" s="29" t="s">
        <v>700</v>
      </c>
      <c r="V99" s="19" t="s">
        <v>701</v>
      </c>
      <c r="W99">
        <f>WEEKNUM(E99)</f>
        <v>31</v>
      </c>
      <c r="X99">
        <f>MONTH(E99)</f>
        <v>7</v>
      </c>
      <c r="Y99">
        <f>YEAR(E99)</f>
        <v>2026</v>
      </c>
      <c r="Z99" t="str">
        <f>_xlfn.CONCAT(W99,"-",Y99)</f>
        <v>31-2026</v>
      </c>
      <c r="AA99" t="s">
        <v>51</v>
      </c>
      <c r="AB99" t="s">
        <v>702</v>
      </c>
      <c r="AF99">
        <v>3</v>
      </c>
      <c r="AH99" t="s">
        <v>170</v>
      </c>
    </row>
    <row r="100" spans="1:34" ht="29.1">
      <c r="A100" s="16">
        <v>3697029</v>
      </c>
      <c r="B100" s="16" t="s">
        <v>703</v>
      </c>
      <c r="C100" s="16" t="s">
        <v>55</v>
      </c>
      <c r="D100" s="30">
        <v>46230</v>
      </c>
      <c r="E100" s="27">
        <v>46230</v>
      </c>
      <c r="F100" s="28">
        <v>0.60763888888888884</v>
      </c>
      <c r="G100" s="16">
        <v>2026</v>
      </c>
      <c r="H100" s="16" t="s">
        <v>39</v>
      </c>
      <c r="I100" s="21" t="s">
        <v>40</v>
      </c>
      <c r="J100" s="24" t="s">
        <v>704</v>
      </c>
      <c r="K100" s="25"/>
      <c r="L100" s="22" t="s">
        <v>58</v>
      </c>
      <c r="M100" s="21" t="s">
        <v>59</v>
      </c>
      <c r="N100" s="25" t="s">
        <v>705</v>
      </c>
      <c r="O100" s="25" t="s">
        <v>409</v>
      </c>
      <c r="P100" s="19" t="s">
        <v>706</v>
      </c>
      <c r="Q100" s="25" t="s">
        <v>46</v>
      </c>
      <c r="R100" s="25" t="s">
        <v>47</v>
      </c>
      <c r="S100" s="16" t="s">
        <v>146</v>
      </c>
      <c r="T100" s="29">
        <v>3005546100</v>
      </c>
      <c r="U100" s="29"/>
      <c r="V100" s="19" t="s">
        <v>707</v>
      </c>
      <c r="W100">
        <f>WEEKNUM(E100)</f>
        <v>31</v>
      </c>
      <c r="X100">
        <f>MONTH(E100)</f>
        <v>7</v>
      </c>
      <c r="Y100">
        <f>YEAR(E100)</f>
        <v>2026</v>
      </c>
      <c r="Z100" t="str">
        <f>_xlfn.CONCAT(W100,"-",Y100)</f>
        <v>31-2026</v>
      </c>
      <c r="AA100" t="s">
        <v>51</v>
      </c>
      <c r="AB100" t="s">
        <v>708</v>
      </c>
      <c r="AF100">
        <v>3</v>
      </c>
      <c r="AH100" t="s">
        <v>170</v>
      </c>
    </row>
    <row r="101" spans="1:34" ht="29.1">
      <c r="A101" s="16">
        <v>3697093</v>
      </c>
      <c r="B101" s="16" t="s">
        <v>555</v>
      </c>
      <c r="C101" s="16" t="s">
        <v>556</v>
      </c>
      <c r="D101" s="30">
        <v>46230</v>
      </c>
      <c r="E101" s="27">
        <v>46230</v>
      </c>
      <c r="F101" s="28">
        <v>0.66666666666666663</v>
      </c>
      <c r="G101" s="16">
        <v>2026</v>
      </c>
      <c r="H101" s="16" t="s">
        <v>39</v>
      </c>
      <c r="I101" s="16" t="s">
        <v>40</v>
      </c>
      <c r="J101" s="16" t="s">
        <v>709</v>
      </c>
      <c r="K101" s="16"/>
      <c r="L101" s="16" t="s">
        <v>58</v>
      </c>
      <c r="M101" s="16" t="s">
        <v>59</v>
      </c>
      <c r="N101" s="16" t="s">
        <v>710</v>
      </c>
      <c r="O101" s="16" t="s">
        <v>409</v>
      </c>
      <c r="P101" s="19" t="s">
        <v>711</v>
      </c>
      <c r="Q101" s="16" t="s">
        <v>46</v>
      </c>
      <c r="R101" s="16" t="s">
        <v>47</v>
      </c>
      <c r="S101" s="16" t="s">
        <v>438</v>
      </c>
      <c r="T101" s="31">
        <v>3203854343</v>
      </c>
      <c r="U101" s="16" t="s">
        <v>712</v>
      </c>
      <c r="V101" s="19" t="s">
        <v>713</v>
      </c>
      <c r="W101">
        <f>WEEKNUM(E101)</f>
        <v>31</v>
      </c>
      <c r="X101">
        <f>MONTH(E101)</f>
        <v>7</v>
      </c>
      <c r="Y101">
        <f>YEAR(E101)</f>
        <v>2026</v>
      </c>
      <c r="Z101" t="str">
        <f>_xlfn.CONCAT(W101,"-",Y101)</f>
        <v>31-2026</v>
      </c>
      <c r="AA101" t="s">
        <v>51</v>
      </c>
      <c r="AB101" t="s">
        <v>714</v>
      </c>
      <c r="AF101">
        <v>3</v>
      </c>
      <c r="AH101" t="s">
        <v>94</v>
      </c>
    </row>
    <row r="102" spans="1:34" ht="29.1">
      <c r="A102" s="16">
        <v>3702232</v>
      </c>
      <c r="B102" s="16" t="s">
        <v>478</v>
      </c>
      <c r="C102" s="16" t="s">
        <v>479</v>
      </c>
      <c r="D102" s="30">
        <v>46231</v>
      </c>
      <c r="E102" s="27">
        <v>46231</v>
      </c>
      <c r="F102" s="28">
        <v>0.47083333333333333</v>
      </c>
      <c r="G102" s="16">
        <v>2026</v>
      </c>
      <c r="H102" s="16" t="s">
        <v>39</v>
      </c>
      <c r="I102" s="16" t="s">
        <v>40</v>
      </c>
      <c r="J102" s="16" t="s">
        <v>715</v>
      </c>
      <c r="K102" s="16"/>
      <c r="L102" s="16" t="s">
        <v>58</v>
      </c>
      <c r="M102" s="16" t="s">
        <v>59</v>
      </c>
      <c r="N102" s="16" t="s">
        <v>716</v>
      </c>
      <c r="O102" s="16" t="s">
        <v>409</v>
      </c>
      <c r="P102" s="19" t="s">
        <v>717</v>
      </c>
      <c r="Q102" s="16" t="s">
        <v>548</v>
      </c>
      <c r="R102" s="16" t="s">
        <v>47</v>
      </c>
      <c r="S102" s="16" t="s">
        <v>146</v>
      </c>
      <c r="T102" s="31">
        <v>3176606271</v>
      </c>
      <c r="U102" s="31" t="s">
        <v>221</v>
      </c>
      <c r="V102" s="19" t="s">
        <v>669</v>
      </c>
      <c r="W102">
        <f>WEEKNUM(E102)</f>
        <v>31</v>
      </c>
      <c r="X102">
        <f>MONTH(E102)</f>
        <v>7</v>
      </c>
      <c r="Y102">
        <f>YEAR(E102)</f>
        <v>2026</v>
      </c>
      <c r="Z102" t="str">
        <f>_xlfn.CONCAT(W102,"-",Y102)</f>
        <v>31-2026</v>
      </c>
      <c r="AA102" t="s">
        <v>179</v>
      </c>
      <c r="AB102" t="s">
        <v>718</v>
      </c>
      <c r="AD102" t="s">
        <v>719</v>
      </c>
      <c r="AF102">
        <v>3</v>
      </c>
      <c r="AH102" t="s">
        <v>170</v>
      </c>
    </row>
    <row r="103" spans="1:34" ht="29.1">
      <c r="A103" s="16">
        <v>3702113</v>
      </c>
      <c r="B103" s="16" t="s">
        <v>194</v>
      </c>
      <c r="C103" s="16" t="s">
        <v>195</v>
      </c>
      <c r="D103" s="30">
        <v>46231</v>
      </c>
      <c r="E103" s="27">
        <v>46231</v>
      </c>
      <c r="F103" s="28">
        <v>0.4909722222222222</v>
      </c>
      <c r="G103" s="16">
        <v>2026</v>
      </c>
      <c r="H103" s="16" t="s">
        <v>39</v>
      </c>
      <c r="I103" s="16" t="s">
        <v>40</v>
      </c>
      <c r="J103" s="16" t="s">
        <v>720</v>
      </c>
      <c r="K103" s="16"/>
      <c r="L103" s="16" t="s">
        <v>58</v>
      </c>
      <c r="M103" s="16" t="s">
        <v>59</v>
      </c>
      <c r="N103" s="16" t="s">
        <v>721</v>
      </c>
      <c r="O103" s="16" t="s">
        <v>456</v>
      </c>
      <c r="P103" s="19" t="s">
        <v>722</v>
      </c>
      <c r="Q103" s="16" t="s">
        <v>46</v>
      </c>
      <c r="R103" s="16" t="s">
        <v>89</v>
      </c>
      <c r="S103" s="16" t="s">
        <v>48</v>
      </c>
      <c r="T103" s="31">
        <v>3143327175</v>
      </c>
      <c r="U103" s="31" t="s">
        <v>202</v>
      </c>
      <c r="V103" s="19" t="s">
        <v>723</v>
      </c>
      <c r="W103">
        <f>WEEKNUM(E103)</f>
        <v>31</v>
      </c>
      <c r="X103">
        <f>MONTH(E103)</f>
        <v>7</v>
      </c>
      <c r="Y103">
        <f>YEAR(E103)</f>
        <v>2026</v>
      </c>
      <c r="Z103" t="str">
        <f>_xlfn.CONCAT(W103,"-",Y103)</f>
        <v>31-2026</v>
      </c>
      <c r="AB103" t="s">
        <v>724</v>
      </c>
      <c r="AF103">
        <v>3</v>
      </c>
      <c r="AH103" t="s">
        <v>94</v>
      </c>
    </row>
    <row r="104" spans="1:34" ht="29.1">
      <c r="A104" s="16">
        <v>3702270</v>
      </c>
      <c r="B104" s="16" t="s">
        <v>478</v>
      </c>
      <c r="C104" s="16" t="s">
        <v>479</v>
      </c>
      <c r="D104" s="30">
        <v>46231</v>
      </c>
      <c r="E104" s="27">
        <v>46231</v>
      </c>
      <c r="F104" s="28">
        <v>0.50347222222222221</v>
      </c>
      <c r="G104" s="16">
        <v>2026</v>
      </c>
      <c r="H104" s="16" t="s">
        <v>39</v>
      </c>
      <c r="I104" s="16" t="s">
        <v>40</v>
      </c>
      <c r="J104" s="16" t="s">
        <v>725</v>
      </c>
      <c r="K104" s="16"/>
      <c r="L104" s="16" t="s">
        <v>58</v>
      </c>
      <c r="M104" s="16" t="s">
        <v>59</v>
      </c>
      <c r="N104" s="16" t="s">
        <v>726</v>
      </c>
      <c r="O104" s="16" t="s">
        <v>409</v>
      </c>
      <c r="P104" s="19" t="s">
        <v>727</v>
      </c>
      <c r="Q104" s="16" t="s">
        <v>46</v>
      </c>
      <c r="R104" s="16" t="s">
        <v>47</v>
      </c>
      <c r="S104" s="16" t="s">
        <v>146</v>
      </c>
      <c r="T104" s="31" t="s">
        <v>728</v>
      </c>
      <c r="U104" s="31" t="s">
        <v>221</v>
      </c>
      <c r="V104" s="19" t="s">
        <v>729</v>
      </c>
      <c r="W104">
        <f>WEEKNUM(E104)</f>
        <v>31</v>
      </c>
      <c r="X104">
        <f>MONTH(E104)</f>
        <v>7</v>
      </c>
      <c r="Y104">
        <f>YEAR(E104)</f>
        <v>2026</v>
      </c>
      <c r="Z104" t="str">
        <f>_xlfn.CONCAT(W104,"-",Y104)</f>
        <v>31-2026</v>
      </c>
      <c r="AB104" t="s">
        <v>730</v>
      </c>
      <c r="AF104">
        <v>3</v>
      </c>
      <c r="AH104" t="s">
        <v>170</v>
      </c>
    </row>
    <row r="105" spans="1:34" ht="29.1">
      <c r="A105" s="16">
        <v>3702281</v>
      </c>
      <c r="B105" s="16" t="s">
        <v>194</v>
      </c>
      <c r="C105" s="16" t="s">
        <v>195</v>
      </c>
      <c r="D105" s="30">
        <v>46231</v>
      </c>
      <c r="E105" s="27">
        <v>46231</v>
      </c>
      <c r="F105" s="28">
        <v>0.50972222222222219</v>
      </c>
      <c r="G105" s="16">
        <v>2026</v>
      </c>
      <c r="H105" s="16" t="s">
        <v>39</v>
      </c>
      <c r="I105" s="16" t="s">
        <v>40</v>
      </c>
      <c r="J105" s="16" t="s">
        <v>731</v>
      </c>
      <c r="K105" s="16"/>
      <c r="L105" s="16" t="s">
        <v>58</v>
      </c>
      <c r="M105" s="16" t="s">
        <v>59</v>
      </c>
      <c r="N105" s="16" t="s">
        <v>732</v>
      </c>
      <c r="O105" s="16" t="s">
        <v>456</v>
      </c>
      <c r="P105" s="19" t="s">
        <v>733</v>
      </c>
      <c r="Q105" s="16" t="s">
        <v>548</v>
      </c>
      <c r="R105" s="16" t="s">
        <v>89</v>
      </c>
      <c r="S105" s="16" t="s">
        <v>48</v>
      </c>
      <c r="T105" s="31">
        <v>3208025550</v>
      </c>
      <c r="U105" s="31" t="s">
        <v>450</v>
      </c>
      <c r="V105" s="19" t="s">
        <v>734</v>
      </c>
      <c r="W105">
        <f>WEEKNUM(E105)</f>
        <v>31</v>
      </c>
      <c r="X105">
        <f>MONTH(E105)</f>
        <v>7</v>
      </c>
      <c r="Y105">
        <f>YEAR(E105)</f>
        <v>2026</v>
      </c>
      <c r="Z105" t="str">
        <f>_xlfn.CONCAT(W105,"-",Y105)</f>
        <v>31-2026</v>
      </c>
      <c r="AB105" t="s">
        <v>735</v>
      </c>
      <c r="AF105">
        <v>3</v>
      </c>
      <c r="AH105" t="s">
        <v>94</v>
      </c>
    </row>
    <row r="106" spans="1:34" ht="23.45" customHeight="1">
      <c r="A106" s="16">
        <v>3702315</v>
      </c>
      <c r="B106" s="16" t="s">
        <v>404</v>
      </c>
      <c r="C106" s="16"/>
      <c r="D106" s="30">
        <v>46231</v>
      </c>
      <c r="E106" s="27">
        <v>46231</v>
      </c>
      <c r="F106" s="28">
        <v>0.53888888888888886</v>
      </c>
      <c r="G106" s="16">
        <v>2026</v>
      </c>
      <c r="H106" s="16" t="s">
        <v>39</v>
      </c>
      <c r="I106" s="16" t="s">
        <v>40</v>
      </c>
      <c r="J106" s="16" t="s">
        <v>736</v>
      </c>
      <c r="K106" s="16"/>
      <c r="L106" s="16" t="s">
        <v>58</v>
      </c>
      <c r="M106" s="16" t="s">
        <v>59</v>
      </c>
      <c r="N106" s="16" t="s">
        <v>737</v>
      </c>
      <c r="O106" s="16" t="s">
        <v>505</v>
      </c>
      <c r="P106" s="19" t="s">
        <v>738</v>
      </c>
      <c r="Q106" s="16" t="s">
        <v>145</v>
      </c>
      <c r="R106" s="16" t="s">
        <v>89</v>
      </c>
      <c r="S106" s="16" t="s">
        <v>146</v>
      </c>
      <c r="T106" s="31">
        <v>3144428080</v>
      </c>
      <c r="U106" s="31" t="s">
        <v>450</v>
      </c>
      <c r="V106" s="19" t="s">
        <v>739</v>
      </c>
      <c r="W106">
        <f>WEEKNUM(E106)</f>
        <v>31</v>
      </c>
      <c r="X106">
        <f>MONTH(E106)</f>
        <v>7</v>
      </c>
      <c r="Y106">
        <f>YEAR(E106)</f>
        <v>2026</v>
      </c>
      <c r="Z106" t="str">
        <f>_xlfn.CONCAT(W106,"-",Y106)</f>
        <v>31-2026</v>
      </c>
      <c r="AB106" t="s">
        <v>740</v>
      </c>
      <c r="AF106">
        <v>3</v>
      </c>
      <c r="AH106" t="s">
        <v>71</v>
      </c>
    </row>
    <row r="107" spans="1:34" ht="29.1">
      <c r="A107" s="16">
        <v>3702424</v>
      </c>
      <c r="B107" s="16" t="s">
        <v>492</v>
      </c>
      <c r="C107" s="16" t="s">
        <v>493</v>
      </c>
      <c r="D107" s="30">
        <v>46231</v>
      </c>
      <c r="E107" s="27">
        <v>46231</v>
      </c>
      <c r="F107" s="28">
        <v>0.67708333333333337</v>
      </c>
      <c r="G107" s="16">
        <v>2026</v>
      </c>
      <c r="H107" s="16" t="s">
        <v>39</v>
      </c>
      <c r="I107" s="16" t="s">
        <v>40</v>
      </c>
      <c r="J107" s="16" t="s">
        <v>741</v>
      </c>
      <c r="K107" s="16"/>
      <c r="L107" s="16" t="s">
        <v>58</v>
      </c>
      <c r="M107" s="16" t="s">
        <v>59</v>
      </c>
      <c r="N107" s="16" t="s">
        <v>742</v>
      </c>
      <c r="O107" s="16" t="s">
        <v>456</v>
      </c>
      <c r="P107" s="19" t="s">
        <v>743</v>
      </c>
      <c r="Q107" s="16" t="s">
        <v>46</v>
      </c>
      <c r="R107" s="16" t="s">
        <v>47</v>
      </c>
      <c r="S107" s="16" t="s">
        <v>48</v>
      </c>
      <c r="T107" s="31" t="s">
        <v>744</v>
      </c>
      <c r="U107" s="31" t="s">
        <v>745</v>
      </c>
      <c r="V107" s="19" t="s">
        <v>746</v>
      </c>
      <c r="W107">
        <f>WEEKNUM(E107)</f>
        <v>31</v>
      </c>
      <c r="X107">
        <f>MONTH(E107)</f>
        <v>7</v>
      </c>
      <c r="Y107">
        <f>YEAR(E107)</f>
        <v>2026</v>
      </c>
      <c r="Z107" t="str">
        <f>_xlfn.CONCAT(W107,"-",Y107)</f>
        <v>31-2026</v>
      </c>
      <c r="AB107" t="s">
        <v>747</v>
      </c>
      <c r="AF107">
        <v>3</v>
      </c>
      <c r="AH107" t="s">
        <v>170</v>
      </c>
    </row>
    <row r="108" spans="1:34" ht="29.1">
      <c r="A108" s="16">
        <v>3702441</v>
      </c>
      <c r="B108" s="16" t="s">
        <v>492</v>
      </c>
      <c r="C108" s="16" t="s">
        <v>493</v>
      </c>
      <c r="D108" s="30">
        <v>46231</v>
      </c>
      <c r="E108" s="27">
        <v>46231</v>
      </c>
      <c r="F108" s="28">
        <v>0.68958333333333333</v>
      </c>
      <c r="G108" s="16">
        <v>2026</v>
      </c>
      <c r="H108" s="16" t="s">
        <v>39</v>
      </c>
      <c r="I108" s="16" t="s">
        <v>40</v>
      </c>
      <c r="J108" s="16" t="s">
        <v>748</v>
      </c>
      <c r="K108" s="16"/>
      <c r="L108" s="16" t="s">
        <v>58</v>
      </c>
      <c r="M108" s="16" t="s">
        <v>59</v>
      </c>
      <c r="N108" s="16" t="s">
        <v>749</v>
      </c>
      <c r="O108" s="16" t="s">
        <v>456</v>
      </c>
      <c r="P108" s="19" t="s">
        <v>750</v>
      </c>
      <c r="Q108" s="16" t="s">
        <v>548</v>
      </c>
      <c r="R108" s="16" t="s">
        <v>47</v>
      </c>
      <c r="S108" s="16" t="s">
        <v>146</v>
      </c>
      <c r="T108" s="31" t="s">
        <v>744</v>
      </c>
      <c r="U108" s="31" t="s">
        <v>751</v>
      </c>
      <c r="V108" s="19" t="s">
        <v>752</v>
      </c>
      <c r="W108">
        <f>WEEKNUM(E108)</f>
        <v>31</v>
      </c>
      <c r="X108">
        <f>MONTH(E108)</f>
        <v>7</v>
      </c>
      <c r="Y108">
        <f>YEAR(E108)</f>
        <v>2026</v>
      </c>
      <c r="Z108" t="str">
        <f>_xlfn.CONCAT(W108,"-",Y108)</f>
        <v>31-2026</v>
      </c>
      <c r="AB108" t="s">
        <v>753</v>
      </c>
      <c r="AF108">
        <v>3</v>
      </c>
      <c r="AH108" t="s">
        <v>71</v>
      </c>
    </row>
    <row r="109" spans="1:34" ht="23.45" customHeight="1">
      <c r="A109" s="16">
        <v>3702467</v>
      </c>
      <c r="B109" s="16" t="s">
        <v>754</v>
      </c>
      <c r="C109" s="16" t="s">
        <v>104</v>
      </c>
      <c r="D109" s="16">
        <v>46231</v>
      </c>
      <c r="E109" s="16">
        <v>46231</v>
      </c>
      <c r="F109" s="16">
        <v>0.72222222222222221</v>
      </c>
      <c r="G109" s="16">
        <v>2026</v>
      </c>
      <c r="H109" s="16">
        <v>7</v>
      </c>
      <c r="I109" s="16" t="s">
        <v>40</v>
      </c>
      <c r="J109" s="16" t="s">
        <v>755</v>
      </c>
      <c r="K109" s="16"/>
      <c r="L109" s="16" t="s">
        <v>58</v>
      </c>
      <c r="M109" s="16" t="s">
        <v>59</v>
      </c>
      <c r="N109" s="16" t="s">
        <v>756</v>
      </c>
      <c r="O109" s="16" t="s">
        <v>505</v>
      </c>
      <c r="P109" s="19" t="s">
        <v>757</v>
      </c>
      <c r="Q109" s="16" t="s">
        <v>548</v>
      </c>
      <c r="R109" s="16" t="s">
        <v>47</v>
      </c>
      <c r="S109" s="16" t="s">
        <v>48</v>
      </c>
      <c r="T109" s="31">
        <v>3208999393</v>
      </c>
      <c r="U109" s="31">
        <v>3208999393</v>
      </c>
      <c r="V109" s="19" t="s">
        <v>758</v>
      </c>
      <c r="W109">
        <f>WEEKNUM(E109)</f>
        <v>31</v>
      </c>
      <c r="X109">
        <f>MONTH(E109)</f>
        <v>7</v>
      </c>
      <c r="Y109">
        <f>YEAR(E109)</f>
        <v>2026</v>
      </c>
      <c r="Z109" t="str">
        <f>_xlfn.CONCAT(W109,"-",Y109)</f>
        <v>31-2026</v>
      </c>
      <c r="AB109" t="s">
        <v>759</v>
      </c>
      <c r="AF109">
        <v>3</v>
      </c>
      <c r="AH109" t="s">
        <v>170</v>
      </c>
    </row>
    <row r="110" spans="1:34" ht="29.1">
      <c r="A110" s="16">
        <v>3705715</v>
      </c>
      <c r="B110" s="16" t="s">
        <v>358</v>
      </c>
      <c r="C110" s="16" t="s">
        <v>359</v>
      </c>
      <c r="D110" s="16">
        <v>46232</v>
      </c>
      <c r="E110" s="16">
        <v>46232</v>
      </c>
      <c r="F110" s="16">
        <v>0.3527777777777778</v>
      </c>
      <c r="G110" s="16">
        <v>2026</v>
      </c>
      <c r="H110" s="16">
        <v>7</v>
      </c>
      <c r="I110" s="16" t="s">
        <v>40</v>
      </c>
      <c r="J110" s="16" t="s">
        <v>760</v>
      </c>
      <c r="K110" s="16"/>
      <c r="L110" s="16" t="s">
        <v>58</v>
      </c>
      <c r="M110" s="16" t="s">
        <v>59</v>
      </c>
      <c r="N110" s="16" t="s">
        <v>761</v>
      </c>
      <c r="O110" s="16" t="s">
        <v>456</v>
      </c>
      <c r="P110" s="19" t="s">
        <v>762</v>
      </c>
      <c r="Q110" s="16" t="s">
        <v>46</v>
      </c>
      <c r="R110" s="16" t="s">
        <v>47</v>
      </c>
      <c r="S110" s="16" t="s">
        <v>48</v>
      </c>
      <c r="T110" s="16" t="s">
        <v>763</v>
      </c>
      <c r="U110" s="16" t="s">
        <v>764</v>
      </c>
      <c r="V110" s="19" t="s">
        <v>765</v>
      </c>
      <c r="W110">
        <f>WEEKNUM(E110)</f>
        <v>31</v>
      </c>
      <c r="X110">
        <f>MONTH(E110)</f>
        <v>7</v>
      </c>
      <c r="Y110">
        <f>YEAR(E110)</f>
        <v>2026</v>
      </c>
      <c r="Z110" t="str">
        <f>_xlfn.CONCAT(W110,"-",Y110)</f>
        <v>31-2026</v>
      </c>
      <c r="AB110" t="s">
        <v>766</v>
      </c>
      <c r="AF110">
        <v>3</v>
      </c>
      <c r="AH110" t="str" cm="1">
        <f t="array" aca="1" ref="AH110" ca="1">INDEX(Listas!$B$2:$B$4,RANDBETWEEN(1,COUNTA(Listas!$B$2:$B$4)))</f>
        <v>Jonathan Aguirre</v>
      </c>
    </row>
    <row r="111" spans="1:34" ht="29.1">
      <c r="A111" s="16">
        <v>3705728</v>
      </c>
      <c r="B111" s="16" t="s">
        <v>358</v>
      </c>
      <c r="C111" s="16" t="s">
        <v>359</v>
      </c>
      <c r="D111" s="16">
        <v>46232</v>
      </c>
      <c r="E111" s="16">
        <v>46232</v>
      </c>
      <c r="F111" s="16">
        <v>0.3611111111111111</v>
      </c>
      <c r="G111" s="16">
        <v>2026</v>
      </c>
      <c r="H111" s="16">
        <v>7</v>
      </c>
      <c r="I111" s="16" t="s">
        <v>40</v>
      </c>
      <c r="J111" s="16" t="s">
        <v>767</v>
      </c>
      <c r="K111" s="16"/>
      <c r="L111" s="16" t="s">
        <v>58</v>
      </c>
      <c r="M111" s="16" t="s">
        <v>59</v>
      </c>
      <c r="N111" s="16" t="s">
        <v>768</v>
      </c>
      <c r="O111" s="16" t="s">
        <v>456</v>
      </c>
      <c r="P111" s="19" t="s">
        <v>762</v>
      </c>
      <c r="Q111" s="16" t="s">
        <v>46</v>
      </c>
      <c r="R111" s="16" t="s">
        <v>47</v>
      </c>
      <c r="S111" s="16" t="s">
        <v>146</v>
      </c>
      <c r="T111" s="31">
        <v>3213770000</v>
      </c>
      <c r="U111" s="31" t="s">
        <v>764</v>
      </c>
      <c r="V111" s="19" t="s">
        <v>769</v>
      </c>
      <c r="W111">
        <f>WEEKNUM(E111)</f>
        <v>31</v>
      </c>
      <c r="X111">
        <f>MONTH(E111)</f>
        <v>7</v>
      </c>
      <c r="Y111">
        <f>YEAR(E111)</f>
        <v>2026</v>
      </c>
      <c r="Z111" t="str">
        <f>_xlfn.CONCAT(W111,"-",Y111)</f>
        <v>31-2026</v>
      </c>
      <c r="AB111" t="s">
        <v>770</v>
      </c>
      <c r="AF111">
        <v>3</v>
      </c>
    </row>
    <row r="112" spans="1:34" ht="29.1">
      <c r="A112" s="16">
        <v>3705921</v>
      </c>
      <c r="B112" s="16" t="s">
        <v>609</v>
      </c>
      <c r="C112" s="16" t="s">
        <v>610</v>
      </c>
      <c r="D112" s="16">
        <v>46232</v>
      </c>
      <c r="E112" s="16">
        <v>46232</v>
      </c>
      <c r="F112" s="16">
        <v>0.48194444444444445</v>
      </c>
      <c r="G112" s="16">
        <v>2026</v>
      </c>
      <c r="H112" s="16">
        <v>7</v>
      </c>
      <c r="I112" s="16" t="s">
        <v>40</v>
      </c>
      <c r="J112" s="16" t="s">
        <v>771</v>
      </c>
      <c r="K112" s="16"/>
      <c r="L112" s="16" t="s">
        <v>77</v>
      </c>
      <c r="M112" s="16" t="s">
        <v>598</v>
      </c>
      <c r="N112" s="16" t="s">
        <v>772</v>
      </c>
      <c r="O112" s="16" t="s">
        <v>436</v>
      </c>
      <c r="P112" s="19" t="s">
        <v>773</v>
      </c>
      <c r="Q112" s="16" t="s">
        <v>46</v>
      </c>
      <c r="R112" s="16" t="s">
        <v>47</v>
      </c>
      <c r="S112" s="16" t="s">
        <v>48</v>
      </c>
      <c r="T112" s="31" t="s">
        <v>774</v>
      </c>
      <c r="U112" s="31" t="s">
        <v>775</v>
      </c>
      <c r="V112" s="19" t="s">
        <v>776</v>
      </c>
      <c r="W112">
        <f>WEEKNUM(E112)</f>
        <v>31</v>
      </c>
      <c r="X112">
        <f>MONTH(E112)</f>
        <v>7</v>
      </c>
      <c r="Y112">
        <f>YEAR(E112)</f>
        <v>2026</v>
      </c>
      <c r="Z112" t="str">
        <f>_xlfn.CONCAT(W112,"-",Y112)</f>
        <v>31-2026</v>
      </c>
      <c r="AB112" t="s">
        <v>777</v>
      </c>
      <c r="AF112">
        <v>3</v>
      </c>
    </row>
    <row r="113" spans="1:32" ht="29.1">
      <c r="A113" s="16">
        <v>3705971</v>
      </c>
      <c r="B113" s="16" t="s">
        <v>544</v>
      </c>
      <c r="C113" s="16" t="s">
        <v>545</v>
      </c>
      <c r="D113" s="16">
        <v>46232</v>
      </c>
      <c r="E113" s="16">
        <v>46232</v>
      </c>
      <c r="F113" s="16">
        <v>0.51666666666666672</v>
      </c>
      <c r="G113" s="16">
        <v>2026</v>
      </c>
      <c r="H113" s="16">
        <v>7</v>
      </c>
      <c r="I113" s="16" t="s">
        <v>40</v>
      </c>
      <c r="J113" s="16" t="s">
        <v>778</v>
      </c>
      <c r="K113" s="16"/>
      <c r="L113" s="16" t="s">
        <v>58</v>
      </c>
      <c r="M113" s="16" t="s">
        <v>59</v>
      </c>
      <c r="N113" s="16" t="s">
        <v>779</v>
      </c>
      <c r="O113" s="16" t="s">
        <v>409</v>
      </c>
      <c r="P113" s="19" t="s">
        <v>780</v>
      </c>
      <c r="Q113" s="16" t="s">
        <v>145</v>
      </c>
      <c r="R113" s="16" t="s">
        <v>89</v>
      </c>
      <c r="S113" s="16" t="s">
        <v>146</v>
      </c>
      <c r="T113" s="31">
        <v>3102386140</v>
      </c>
      <c r="U113" s="31" t="s">
        <v>122</v>
      </c>
      <c r="V113" s="19" t="s">
        <v>781</v>
      </c>
      <c r="W113">
        <f>WEEKNUM(E113)</f>
        <v>31</v>
      </c>
      <c r="X113">
        <f>MONTH(E113)</f>
        <v>7</v>
      </c>
      <c r="Y113">
        <f>YEAR(E113)</f>
        <v>2026</v>
      </c>
      <c r="Z113" t="str">
        <f>_xlfn.CONCAT(W113,"-",Y113)</f>
        <v>31-2026</v>
      </c>
      <c r="AB113" t="s">
        <v>782</v>
      </c>
      <c r="AF113">
        <v>3</v>
      </c>
    </row>
    <row r="114" spans="1:32" ht="29.1">
      <c r="A114" s="16">
        <v>3706034</v>
      </c>
      <c r="B114" s="16" t="s">
        <v>609</v>
      </c>
      <c r="C114" s="16" t="s">
        <v>610</v>
      </c>
      <c r="D114" s="16">
        <v>46232</v>
      </c>
      <c r="E114" s="16">
        <v>46232</v>
      </c>
      <c r="F114" s="16">
        <v>0.58125000000000004</v>
      </c>
      <c r="G114" s="16">
        <v>2026</v>
      </c>
      <c r="H114" s="16">
        <v>7</v>
      </c>
      <c r="I114" s="16" t="s">
        <v>40</v>
      </c>
      <c r="J114" s="16" t="s">
        <v>783</v>
      </c>
      <c r="K114" s="16"/>
      <c r="L114" s="16" t="s">
        <v>77</v>
      </c>
      <c r="M114" s="16" t="s">
        <v>598</v>
      </c>
      <c r="N114" s="16" t="s">
        <v>784</v>
      </c>
      <c r="O114" s="16" t="s">
        <v>436</v>
      </c>
      <c r="P114" s="19" t="s">
        <v>785</v>
      </c>
      <c r="Q114" s="16" t="s">
        <v>548</v>
      </c>
      <c r="R114" s="16" t="s">
        <v>89</v>
      </c>
      <c r="S114" s="16" t="s">
        <v>90</v>
      </c>
      <c r="T114" s="31">
        <v>3053375850</v>
      </c>
      <c r="U114" s="31">
        <v>3053375850</v>
      </c>
      <c r="V114" s="19" t="s">
        <v>786</v>
      </c>
      <c r="W114">
        <f>WEEKNUM(E114)</f>
        <v>31</v>
      </c>
      <c r="X114">
        <f>MONTH(E114)</f>
        <v>7</v>
      </c>
      <c r="Y114">
        <f>YEAR(E114)</f>
        <v>2026</v>
      </c>
      <c r="Z114" t="str">
        <f>_xlfn.CONCAT(W114,"-",Y114)</f>
        <v>31-2026</v>
      </c>
      <c r="AB114" t="s">
        <v>787</v>
      </c>
      <c r="AF114">
        <v>3</v>
      </c>
    </row>
  </sheetData>
  <autoFilter ref="A1:AL98" xr:uid="{66F9F202-4214-4BA7-8AEF-C4DBB6400BB1}"/>
  <hyperlinks>
    <hyperlink ref="P3" r:id="rId1" xr:uid="{D42D7EF3-3D46-4E54-8C69-3FBA36D0709C}"/>
    <hyperlink ref="P4" r:id="rId2" xr:uid="{30746116-5705-4D4E-9BDA-784804282991}"/>
    <hyperlink ref="P5" r:id="rId3" xr:uid="{EEFDC895-F2FF-487F-8289-B50C094BEB17}"/>
    <hyperlink ref="P6" r:id="rId4" xr:uid="{4F03A30A-15C4-44D7-99B4-15C9F8AB6D1F}"/>
    <hyperlink ref="U6" r:id="rId5" xr:uid="{B6FBBEE1-F535-4141-A6EC-B010DE42326B}"/>
    <hyperlink ref="P7" r:id="rId6" xr:uid="{461AD067-2B3B-420C-A3D3-0BE4B50A4A56}"/>
    <hyperlink ref="P8" r:id="rId7" xr:uid="{E79601BB-DEBD-4DA8-BB71-18ACFD9B6815}"/>
    <hyperlink ref="P9" r:id="rId8" xr:uid="{7C77FB56-C3FD-4493-86AB-D20A41AA64B6}"/>
    <hyperlink ref="P10" r:id="rId9" xr:uid="{05505495-AED5-4336-9C1D-BADDC5E7BF19}"/>
    <hyperlink ref="P11" r:id="rId10" xr:uid="{FE167FE7-4190-484E-862C-743DEFF9E0FF}"/>
    <hyperlink ref="P12" r:id="rId11" xr:uid="{C1649F27-7A32-4364-9B70-7A805041FD53}"/>
    <hyperlink ref="P13" r:id="rId12" xr:uid="{9BBB34D6-131C-4C1A-8682-33A8E53836E6}"/>
    <hyperlink ref="P14" r:id="rId13" xr:uid="{14A93640-90B1-4A22-80DA-78943F577899}"/>
    <hyperlink ref="P15" r:id="rId14" xr:uid="{EB4CA6F7-4197-4BFA-80D0-C6C5EF313397}"/>
    <hyperlink ref="P16" r:id="rId15" xr:uid="{6E9EBDC5-7E23-4472-B11A-4E617E1F3D3C}"/>
    <hyperlink ref="P17" r:id="rId16" xr:uid="{64FDEBC3-1188-4947-8940-AB21C6137660}"/>
    <hyperlink ref="P19" r:id="rId17" xr:uid="{97B090AC-C2A3-45F8-94CE-B91E53D0599D}"/>
    <hyperlink ref="P31" r:id="rId18" xr:uid="{DEAA9084-E43D-4E28-87D7-BDA3CDF58BB7}"/>
    <hyperlink ref="V31" r:id="rId19" xr:uid="{3828DF41-962A-47B8-9618-198281FBDE1B}"/>
    <hyperlink ref="P30" r:id="rId20" xr:uid="{FFBEE314-6579-40D7-B30C-4CDB69244572}"/>
    <hyperlink ref="P20" r:id="rId21" xr:uid="{DEFCA8DA-7777-49DC-AF5F-F5F37E45F107}"/>
    <hyperlink ref="P18" r:id="rId22" xr:uid="{52940E86-CF48-4055-9254-6F98C5F9EA3D}"/>
    <hyperlink ref="P21" r:id="rId23" xr:uid="{F01C8CE3-DD63-4C78-931D-371FA93EB1F6}"/>
    <hyperlink ref="P22" r:id="rId24" xr:uid="{265AB82D-C694-476B-A2F5-2C08D3A2AB75}"/>
    <hyperlink ref="P23" r:id="rId25" xr:uid="{C86FBA5A-87F3-4928-8C15-50CF52C38DF0}"/>
    <hyperlink ref="P24" r:id="rId26" xr:uid="{A3A88DEC-735C-479C-92F9-25750C110E47}"/>
    <hyperlink ref="P25" r:id="rId27" xr:uid="{D3766897-01AB-4458-8600-AFDA41111112}"/>
    <hyperlink ref="P26" r:id="rId28" xr:uid="{7BC2A519-7AF6-4F5E-A7A7-17D174A81874}"/>
    <hyperlink ref="P27" r:id="rId29" xr:uid="{6D936714-4786-4AE4-B009-86D565842A39}"/>
    <hyperlink ref="P28" r:id="rId30" xr:uid="{80B86197-BA4D-4FC6-8E34-B7D6006B4DE7}"/>
    <hyperlink ref="P29" r:id="rId31" xr:uid="{DEE0B57C-80AC-4535-A1A8-F233559319A6}"/>
    <hyperlink ref="P49" r:id="rId32" xr:uid="{160EE43E-A79E-43F5-A3DB-AFE7CBE8F9DF}"/>
    <hyperlink ref="P32" r:id="rId33" xr:uid="{D4568CF8-1ECC-4993-97A7-F4F52ED32E9B}"/>
    <hyperlink ref="P33" r:id="rId34" xr:uid="{D5CF5314-78A4-4129-93E0-3B3154D9D695}"/>
    <hyperlink ref="P34" r:id="rId35" xr:uid="{FA6A3C2C-27A4-442B-9B6C-DAFEC3815695}"/>
    <hyperlink ref="P35" r:id="rId36" xr:uid="{73E9A42B-C0C0-46F3-91D2-A01C76449A90}"/>
    <hyperlink ref="P50" r:id="rId37" xr:uid="{E9E5A520-3029-45F9-8274-E2BB998E3117}"/>
    <hyperlink ref="P51" r:id="rId38" xr:uid="{85C91D85-B6BB-43D8-AFFE-3A7F9A76605A}"/>
    <hyperlink ref="P52" r:id="rId39" xr:uid="{20666010-067D-44D5-BDF6-2E793D0D34A5}"/>
    <hyperlink ref="P53" r:id="rId40" xr:uid="{BA48157E-E523-4843-BC81-AC64B26D23DF}"/>
    <hyperlink ref="P54" r:id="rId41" xr:uid="{576956EE-C10D-43C9-92AE-FFF737DB4010}"/>
    <hyperlink ref="P55" r:id="rId42" xr:uid="{0DB5A089-FE2D-49CC-B2B0-68ECA8203462}"/>
    <hyperlink ref="P56" r:id="rId43" xr:uid="{BA5D016C-C33F-4EDB-8D1C-0FD8054F3EA6}"/>
    <hyperlink ref="P57" r:id="rId44" xr:uid="{BB3FC060-AECF-460E-800C-6BB92B531F3B}"/>
    <hyperlink ref="P58" r:id="rId45" xr:uid="{FF25A481-7EAF-4D53-BDF8-CAA3C5AEB571}"/>
    <hyperlink ref="P59" r:id="rId46" xr:uid="{527FA487-434C-49D1-BA06-F36F893C183F}"/>
    <hyperlink ref="P60" r:id="rId47" xr:uid="{C7E41D1A-1C72-4559-BD67-8388F23F8F3E}"/>
    <hyperlink ref="P61" r:id="rId48" xr:uid="{D194A7C0-B46D-4639-93C9-FEB557B71939}"/>
    <hyperlink ref="P63" r:id="rId49" xr:uid="{73B4E233-D066-410C-B778-97D191F85A99}"/>
    <hyperlink ref="P64" r:id="rId50" xr:uid="{1504E186-D660-4437-822F-2A9F5B383F5B}"/>
    <hyperlink ref="P66" r:id="rId51" xr:uid="{DE06D4F5-5F23-4DBF-A007-C8D00DF941B1}"/>
    <hyperlink ref="P36" r:id="rId52" xr:uid="{ADD39286-3C76-4B7E-AEF6-024A7F54A138}"/>
    <hyperlink ref="P37" r:id="rId53" xr:uid="{EA9D5A12-D1B0-4581-B0BE-FC0F6858665F}"/>
    <hyperlink ref="P38" r:id="rId54" xr:uid="{9277703B-CC4C-4CBC-8953-0AA62AD06A86}"/>
    <hyperlink ref="P39" r:id="rId55" xr:uid="{ECAEA39E-C705-4490-8950-E967888221A5}"/>
    <hyperlink ref="P40" r:id="rId56" xr:uid="{512443D3-883F-4E5B-B27B-2581BC91DFD2}"/>
    <hyperlink ref="V14" r:id="rId57" xr:uid="{DDE68B08-1000-480B-959F-45934D98576D}"/>
    <hyperlink ref="P44" r:id="rId58" xr:uid="{BC5BA9B6-463F-4869-B1CE-6AC3180BD2E6}"/>
    <hyperlink ref="P43" r:id="rId59" xr:uid="{2A960EC5-E997-423E-B9B1-BA54FD7A6165}"/>
    <hyperlink ref="P42" r:id="rId60" xr:uid="{1E4844FB-1061-40E5-AD6D-70D9041D7501}"/>
    <hyperlink ref="P41" r:id="rId61" xr:uid="{61642A34-976A-4C0A-B5A2-BB4A28ADA6BF}"/>
    <hyperlink ref="V68" r:id="rId62" display="https://oxxo-colombia.oneapp.cl/static/img/Respuesta/63234643/fc05e86c5b9aa2c4db94266f19506d37.jpg" xr:uid="{BF68681A-1211-441F-A4BF-3DA820081EFB}"/>
    <hyperlink ref="V69" r:id="rId63" display="https://oxxo-colombia.oneapp.cl/static/img/Respuesta/63235378/ba7e80d8123a945309a14b94fa26aff4.jpg" xr:uid="{96646300-6DA6-47C8-915A-2724CDA76259}"/>
    <hyperlink ref="V71" r:id="rId64" display="https://oxxo-colombia.oneapp.cl/static/img/Respuesta/63235704/1cbcf88bc193677f42e920ff2e2cedc4.jpg" xr:uid="{B181F868-E8D7-45DA-AD76-4EDB1C304879}"/>
    <hyperlink ref="V72" r:id="rId65" display="https://oxxo-colombia.oneapp.cl/static/img/Respuesta/63235758/c10391636aa52d896f9c53fc97b340ed.jpg" xr:uid="{3C52DA61-FBB1-4D6F-9749-2F6EBAB64F8A}"/>
    <hyperlink ref="V73" r:id="rId66" display="https://oxxo-colombia.oneapp.cl/static/img/Respuesta/63235871/7145912e4d14bfd5caa7936f3a4fec12.jpg" xr:uid="{BA205500-6774-40CF-9A4D-E1A962B205A3}"/>
    <hyperlink ref="V74" r:id="rId67" display="https://oxxo-colombia.oneapp.cl/static/img/Respuesta/63235847/6b506c7cab4e01f44d9398d3f2f8e012.jpg" xr:uid="{C86D965E-272D-4453-ADF7-A517EDF70C6F}"/>
    <hyperlink ref="V67" r:id="rId68" display="https://oxxo-colombia.oneapp.cl/static/img/Respuesta/63234280/1eb00ebff368e6719f9c1bc3b3edb8fd.jpg" xr:uid="{72669910-067C-4FC7-98A1-6A9BB24BC8B5}"/>
    <hyperlink ref="V70" r:id="rId69" display="https://oxxo-colombia.oneapp.cl/static/img/Respuesta/63235652/1fb2d400043bca38cf104da0f63ee849.jpg" xr:uid="{AC8C939F-AEF7-4A3A-9F78-778B95CBD55D}"/>
    <hyperlink ref="P67" r:id="rId70" xr:uid="{E37987FE-AF5D-4DEB-B664-891DC4852D0B}"/>
    <hyperlink ref="P70" r:id="rId71" xr:uid="{1338734E-D00E-44A9-9DF5-722C3F25A620}"/>
    <hyperlink ref="P75" r:id="rId72" xr:uid="{51B031BE-F5CD-4ACE-8FCE-F639FB0CC5EA}"/>
    <hyperlink ref="V75" r:id="rId73" display="https://oxxo-colombia.oneapp.cl/static/img/Respuesta/63236023/ac75ede8715a9f362f4a8edbdac1b1ba.jpg" xr:uid="{6A702970-6BB1-4BB1-9DAD-FE6DBBAA1342}"/>
    <hyperlink ref="V76" r:id="rId74" display="https://oxxo-colombia.oneapp.cl/static/img/Respuesta/63236045/61f38cb8a2537eb126a93f4752a4f3cf.jpg" xr:uid="{8BE8A29D-D913-43B8-8C20-8190AAAAB310}"/>
    <hyperlink ref="V77" r:id="rId75" display="https://oxxo-colombia.oneapp.cl/static/img/Respuesta/63236068/c868ccb2be43c2d4111c12a827094da7.jpg" xr:uid="{EDC74B54-9D2F-47F7-80A3-D26A94A57E13}"/>
    <hyperlink ref="V78" r:id="rId76" display="https://oxxo-colombia.oneapp.cl/static/img/Respuesta/63236267/086de637da14c4093d2c2bbe9e337aab.jpg" xr:uid="{052256C2-72DC-4FCB-B662-868FF9FDEE2F}"/>
    <hyperlink ref="V79" r:id="rId77" display="https://oxxo-colombia.oneapp.cl/static/img/Respuesta/63283434/7cc75b63444a0be61f41df29f8e2f7fe.jpg" xr:uid="{FF7AC104-2101-4419-9D5F-7A440D050A74}"/>
    <hyperlink ref="V80" r:id="rId78" display="https://oxxo-colombia.oneapp.cl/static/img/Respuesta/63290615/fe38ff36a53c7b1ce4c348c31beafeea.jpg" xr:uid="{A36ABA83-6F19-475A-873F-A964F55F810E}"/>
    <hyperlink ref="V81" r:id="rId79" display="https://oxxo-colombia.oneapp.cl/static/img/Respuesta/63291098/925b5afb34e9d861486cda56304edf36.jpg" xr:uid="{6433A232-305A-4C55-B11E-3D526F58D7B6}"/>
    <hyperlink ref="V82" r:id="rId80" display="https://oxxo-colombia.oneapp.cl/static/img/Respuesta/63293537/48e2c5117bc1a0a0052f685f2e7aa552.jpg" xr:uid="{696BDD28-CB3C-4509-95E6-BA6B486CAFB2}"/>
    <hyperlink ref="V83" r:id="rId81" display="https://oxxo-colombia.oneapp.cl/static/img/Respuesta/63293647/9188c0495b21b3c3d21ec7a66cbd5560.jpg" xr:uid="{0CFD8235-E62C-47AE-A839-D52D26688997}"/>
    <hyperlink ref="V84" r:id="rId82" display="https://oxxo-colombia.oneapp.cl/static/img/Respuesta/63293713/30ff14b7ee68ac494983b41968add7a0.jpg" xr:uid="{661FC6E5-5084-4668-9D92-55363BC65475}"/>
    <hyperlink ref="V85" r:id="rId83" display="https://oxxo-colombia.oneapp.cl/static/img/Respuesta/63294087/8e132cc7d7522521b5f96d14bd4e2184.jpg" xr:uid="{021C7EA7-EEE3-4B48-B1B7-58DEC58C9ABD}"/>
    <hyperlink ref="V86" r:id="rId84" display="https://oxxo-colombia.oneapp.cl/static/img/Respuesta/63294600/7253b93995d8241c71ecc67ada873de3.jpg" xr:uid="{0976F6E3-D5FA-47D9-8A66-DE4575A633F2}"/>
    <hyperlink ref="V87" r:id="rId85" display="https://oxxo-colombia.oneapp.cl/static/img/Respuesta/63294622/fccf04f93e0c28772b29a0162ac620e3.jpg" xr:uid="{49FCAC14-83F3-4341-A7D8-A611959CA214}"/>
    <hyperlink ref="V88" r:id="rId86" display="https://oxxo-colombia.oneapp.cl/static/img/Respuesta/63294725/7a5a93d337453201c642d86559be42f6.jpg" xr:uid="{010E6D05-0104-49F1-A63B-4AE3FFA2E159}"/>
    <hyperlink ref="V89" r:id="rId87" display="https://oxxo-colombia.oneapp.cl/static/img/Respuesta/63339353/7705c68cb3cdebfb03b58f15fa9ec0c1.jpg" xr:uid="{555481A0-2FDF-45F1-9C53-F54054577077}"/>
    <hyperlink ref="V99" r:id="rId88" display="https://oxxo-colombia.oneapp.cl/static/img/Respuesta/63380340/dd79b6fe5bba15fc123c186fe236a1da.jpg" xr:uid="{5B3150EB-48A4-4179-811C-9D103E2FB96E}"/>
    <hyperlink ref="V90" r:id="rId89" display="https://oxxo-colombia.oneapp.cl/static/img/Respuesta/63387714/f124d584558a775b084329f8f42f49cf.jpg" xr:uid="{569502A2-B7EC-420F-AE15-BE9035EC329A}"/>
    <hyperlink ref="V91" r:id="rId90" display="https://oxxo-colombia.oneapp.cl/static/img/Respuesta/63388027/680b1b6f582e2dd2d7445085ee62dc31.jpg" xr:uid="{B542BBB1-8FEC-40F5-B257-E3BA68425489}"/>
    <hyperlink ref="V92" r:id="rId91" display="https://oxxo-colombia.oneapp.cl/static/img/Respuesta/63388253/8450c81c64856218bb75aca92028cb1f.jpg" xr:uid="{1F4370D0-9E4C-4C28-AA80-55DA1B90C95F}"/>
    <hyperlink ref="V93" r:id="rId92" display="https://oxxo-colombia.oneapp.cl/static/img/Respuesta/63388428/172038a89dc04695c868088d514e5543.jpg" xr:uid="{46F49280-7858-450C-B9C6-32B3754C7101}"/>
    <hyperlink ref="V94" r:id="rId93" display="https://oxxo-colombia.oneapp.cl/static/img/Respuesta/63393109/ef98d3e838bb69e0a3158b1069057235.jpg" xr:uid="{9DA1D71E-F6C9-42EF-A8AE-5F3228937089}"/>
    <hyperlink ref="V95" r:id="rId94" display="https://oxxo-colombia.oneapp.cl/static/img/Respuesta/63393355/30fd5d94d97855af9d13c23b09032a59.jpg" xr:uid="{49E18154-205C-47B8-AC2D-D13169CAEC67}"/>
    <hyperlink ref="V96" r:id="rId95" display="https://oxxo-colombia.oneapp.cl/static/img/Respuesta/63394453/4ce43c6a140a896060f568d78a9c6b47.jpg" xr:uid="{DA0FFE79-8190-48A6-8D3A-D37A2E4CD697}"/>
    <hyperlink ref="V97" r:id="rId96" display="https://oxxo-colombia.oneapp.cl/static/img/Respuesta/63394569/5e176010cd3a3d3e5cef11dfd46a4adc.jpg" xr:uid="{240A7D0F-2561-4F04-92FA-F73440B5C7A1}"/>
    <hyperlink ref="V100" r:id="rId97" display="https://oxxo-colombia.oneapp.cl/static/img/Respuesta/63397732/f30122521ce1f02acb830415f1166331.jpg" xr:uid="{2A895B35-9DA8-4E59-9DF8-FF3FBCDB5295}"/>
    <hyperlink ref="V101" r:id="rId98" display="https://oxxo-colombia.oneapp.cl/static/img/Respuesta/63400250/fe4023da6d233af07cc9ae77e06bbf53.jpg" xr:uid="{33E5768A-595A-4FAC-AB72-BE592950464E}"/>
    <hyperlink ref="V98" r:id="rId99" display="https://oxxo-colombia.oneapp.cl/static/img/Respuesta/63401994/a2d2c202bcad290c05f7064100e1b996.jpg" xr:uid="{F4D9F691-40D1-4E06-BB2F-AA263E500BF9}"/>
    <hyperlink ref="P98" r:id="rId100" xr:uid="{312BF6C5-CC46-4C09-BE16-666B309F56D2}"/>
    <hyperlink ref="P99" r:id="rId101" xr:uid="{416DE95D-C959-4A65-B965-21E8208B767A}"/>
    <hyperlink ref="P100" r:id="rId102" xr:uid="{312D9F5C-AE04-413C-BE14-2F6E009EC12B}"/>
    <hyperlink ref="P101" r:id="rId103" xr:uid="{9361843F-6499-4FFA-BE66-46C084E8F479}"/>
    <hyperlink ref="V102" r:id="rId104" display="https://oxxo-colombia.oneapp.cl/static/img/Respuesta/63468888/e21c224365c6b6fbd1bf9e26ead23e92.jpg" xr:uid="{5C0DE082-F07E-48E8-9F71-33CB7D5A1DFF}"/>
    <hyperlink ref="V103" r:id="rId105" display="https://oxxo-colombia.oneapp.cl/static/img/Respuesta/63470672/ee68e71181e2f90364fcf0ea3365e8f0.jpg" xr:uid="{4B12E777-0FFA-4554-8979-7908BA8A0079}"/>
    <hyperlink ref="V104" r:id="rId106" display="https://oxxo-colombia.oneapp.cl/static/img/Respuesta/63472069/f53bdcedd8d975c27547092f9995220b.jpg" xr:uid="{7636AA66-C18E-4FFB-A497-2F701827FA82}"/>
    <hyperlink ref="V105" r:id="rId107" display="https://oxxo-colombia.oneapp.cl/static/img/Respuesta/63472348/12261a71bb8bb40f9cbf719a9710877a.jpg" xr:uid="{2A753C56-E6C1-47E5-8459-222CBAD58754}"/>
    <hyperlink ref="V106" r:id="rId108" display="https://oxxo-colombia.oneapp.cl/static/img/Respuesta/63473872/8ced33c2aa175cdc87cce1e11e84289d.jpg" xr:uid="{C4897E51-3845-40FB-BAAC-2BC3942D594A}"/>
    <hyperlink ref="V107" r:id="rId109" display="https://oxxo-colombia.oneapp.cl/static/img/Respuesta/63479989/0d67d0038cba0e2747d103ff8d71578a.jpg" xr:uid="{887C847C-8D78-4FAC-B216-039CCFF51FD5}"/>
    <hyperlink ref="V108" r:id="rId110" display="https://oxxo-colombia.oneapp.cl/static/img/Respuesta/63480559/b4e8d1bb66dbafb897aca7ddf8cf17fe.jpg" xr:uid="{6CDD3848-9FB0-43C2-B491-A5742FCF1784}"/>
    <hyperlink ref="P102" r:id="rId111" xr:uid="{A906118C-3E10-4B32-9927-871261B081AD}"/>
    <hyperlink ref="P104" r:id="rId112" xr:uid="{AD7C6033-EE88-4460-8C69-5C342D4AE27B}"/>
    <hyperlink ref="P105" r:id="rId113" xr:uid="{C92FE86F-20B9-4879-BBAB-09BCC99F66E5}"/>
    <hyperlink ref="P106" r:id="rId114" xr:uid="{5B3A8757-03DC-49C4-8648-FE7CE19BF2F2}"/>
    <hyperlink ref="P107" r:id="rId115" xr:uid="{11533F0E-802E-4E7C-8914-21F694E92568}"/>
    <hyperlink ref="P108" r:id="rId116" xr:uid="{BC63F9A0-C65B-49A0-A279-61DE003024E0}"/>
    <hyperlink ref="P80" r:id="rId117" xr:uid="{27F95568-36B6-4101-AFA1-885DEF7CBCAF}"/>
    <hyperlink ref="V109" r:id="rId118" display="https://oxxo-colombia.oneapp.cl/static/img/Respuesta/63481463/ec3b5f4110968e87a1580adf4a6fa097.jpg" xr:uid="{1931275B-A9B2-4CD7-9867-DF2948929D5A}"/>
    <hyperlink ref="P109" r:id="rId119" xr:uid="{B25D9217-27EA-4523-849D-6356CE1C4032}"/>
    <hyperlink ref="P45" r:id="rId120" xr:uid="{017E543F-08C4-40DC-8E31-E69A3F7901B4}"/>
    <hyperlink ref="P46" r:id="rId121" xr:uid="{338A2160-BD42-418A-AAA3-9929D5D65C68}"/>
    <hyperlink ref="V110" r:id="rId122" display="https://oxxo-colombia.oneapp.cl/static/img/Respuesta/63529823/f58ab9834d6b9f66c1f7467cadc39438.jpg" xr:uid="{13201FE8-2D47-4EA1-92CC-60FBE0DF3743}"/>
    <hyperlink ref="V111" r:id="rId123" display="https://oxxo-colombia.oneapp.cl/static/img/Respuesta/63531072/40f0ec34b6a6d208a3be21783609d112.jpg" xr:uid="{451441FD-5B52-48FA-B5E9-419AA33A2A42}"/>
    <hyperlink ref="V112" r:id="rId124" display="https://oxxo-colombia.oneapp.cl/static/img/Respuesta/63542159/8c778d83efbfb90bada865369b9af7ea.jpg" xr:uid="{ACC29341-5AD3-421A-9B70-73C7639E529D}"/>
    <hyperlink ref="V113" r:id="rId125" display="https://oxxo-colombia.oneapp.cl/static/img/Respuesta/63544029/695857ab517fc87a28d8771d12e45a5d.jpg" xr:uid="{EA5898FF-D4FB-411E-AD33-DD45059BE6AF}"/>
    <hyperlink ref="V114" r:id="rId126" display="https://oxxo-colombia.oneapp.cl/static/img/Respuesta/63546844/38eb463ec99868d56379ebddff280999.jpg" xr:uid="{6C685DA9-4A48-46EE-9F9B-9C334197D5EA}"/>
    <hyperlink ref="P110" r:id="rId127" xr:uid="{E4AB5F45-78CE-4CAC-9D65-848883B00A40}"/>
    <hyperlink ref="P111" r:id="rId128" xr:uid="{B54F31A4-467B-4126-9CFA-87912EB59245}"/>
    <hyperlink ref="P112" r:id="rId129" xr:uid="{40B15014-BAAB-4649-B597-D66A09EDCAD9}"/>
    <hyperlink ref="P113" r:id="rId130" xr:uid="{B8655B0B-5A6C-4C25-8DCD-D23D6BB9487A}"/>
    <hyperlink ref="P114" r:id="rId131" xr:uid="{D417A849-1B1B-4C3D-833F-78B1ACEC270C}"/>
  </hyperlinks>
  <pageMargins left="0.75" right="0.75" top="1" bottom="1" header="0.5" footer="0.5"/>
  <headerFooter>
    <oddFooter>&amp;C_x000D_&amp;1#&amp;"Calibri"&amp;10&amp;K000000 OXXO | Uso Interno</odd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A460201-850D-40BF-B552-8CDD0B213A94}">
          <x14:formula1>
            <xm:f>Listas!$A$2:$A$11</xm:f>
          </x14:formula1>
          <xm:sqref>AI2:AI101</xm:sqref>
        </x14:dataValidation>
        <x14:dataValidation type="list" allowBlank="1" showInputMessage="1" showErrorMessage="1" xr:uid="{732435FC-2F13-4434-9C66-E0D6B66D389B}">
          <x14:formula1>
            <xm:f>Listas!$C$2:$C$14</xm:f>
          </x14:formula1>
          <xm:sqref>AG2:AG111</xm:sqref>
        </x14:dataValidation>
      </x14:dataValidations>
    </ext>
    <ext xmlns:x15="http://schemas.microsoft.com/office/spreadsheetml/2010/11/main" uri="{F7C9EE02-42E1-4005-9D12-6889AFFD525C}">
      <x15:webExtensions xmlns:xm="http://schemas.microsoft.com/office/excel/2006/main">
        <x15:webExtension appRef="{D1D96084-D2D0-44CF-A08D-F551EC34CEFB}">
          <xm:f>Visitas_Operaciones!#REF!</xm:f>
        </x15:webExtension>
        <x15:webExtension appRef="{D1D96084-D2D0-44CF-A08D-F551EC34CEFB}">
          <xm:f>Visitas_Operaciones!#REF!</xm:f>
        </x15:webExtension>
      </x15:webExtens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0295F-CB05-4127-8119-F9C586B63898}">
  <dimension ref="A1:B46"/>
  <sheetViews>
    <sheetView zoomScale="59" zoomScaleNormal="59" workbookViewId="0">
      <selection activeCell="O48" sqref="O48"/>
    </sheetView>
  </sheetViews>
  <sheetFormatPr defaultColWidth="11.42578125" defaultRowHeight="14.45"/>
  <cols>
    <col min="1" max="1" width="29.85546875" bestFit="1" customWidth="1"/>
    <col min="2" max="2" width="25.140625" bestFit="1" customWidth="1"/>
  </cols>
  <sheetData>
    <row r="1" spans="1:2">
      <c r="A1" s="17" t="s">
        <v>1</v>
      </c>
      <c r="B1" t="s">
        <v>788</v>
      </c>
    </row>
    <row r="3" spans="1:2">
      <c r="A3" s="17" t="s">
        <v>789</v>
      </c>
      <c r="B3" t="s">
        <v>790</v>
      </c>
    </row>
    <row r="4" spans="1:2">
      <c r="A4" s="18" t="s">
        <v>58</v>
      </c>
      <c r="B4">
        <v>24</v>
      </c>
    </row>
    <row r="5" spans="1:2">
      <c r="A5" s="18" t="s">
        <v>42</v>
      </c>
      <c r="B5">
        <v>1</v>
      </c>
    </row>
    <row r="6" spans="1:2">
      <c r="A6" s="18" t="s">
        <v>77</v>
      </c>
      <c r="B6">
        <v>6</v>
      </c>
    </row>
    <row r="7" spans="1:2">
      <c r="A7" s="18" t="s">
        <v>791</v>
      </c>
      <c r="B7">
        <v>31</v>
      </c>
    </row>
    <row r="22" spans="1:2">
      <c r="A22" t="s">
        <v>789</v>
      </c>
      <c r="B22" t="s">
        <v>790</v>
      </c>
    </row>
    <row r="23" spans="1:2">
      <c r="A23" t="s">
        <v>223</v>
      </c>
      <c r="B23">
        <v>1</v>
      </c>
    </row>
    <row r="24" spans="1:2">
      <c r="A24" t="s">
        <v>103</v>
      </c>
      <c r="B24">
        <v>1</v>
      </c>
    </row>
    <row r="25" spans="1:2">
      <c r="A25" t="s">
        <v>194</v>
      </c>
      <c r="B25">
        <v>1</v>
      </c>
    </row>
    <row r="26" spans="1:2">
      <c r="A26" t="s">
        <v>274</v>
      </c>
      <c r="B26">
        <v>1</v>
      </c>
    </row>
    <row r="27" spans="1:2">
      <c r="A27" t="s">
        <v>792</v>
      </c>
      <c r="B27">
        <v>1</v>
      </c>
    </row>
    <row r="28" spans="1:2">
      <c r="A28" t="s">
        <v>35</v>
      </c>
      <c r="B28">
        <v>1</v>
      </c>
    </row>
    <row r="29" spans="1:2">
      <c r="A29" t="s">
        <v>95</v>
      </c>
      <c r="B29">
        <v>2</v>
      </c>
    </row>
    <row r="30" spans="1:2">
      <c r="A30" t="s">
        <v>139</v>
      </c>
      <c r="B30">
        <v>2</v>
      </c>
    </row>
    <row r="31" spans="1:2">
      <c r="A31" t="s">
        <v>161</v>
      </c>
      <c r="B31">
        <v>2</v>
      </c>
    </row>
    <row r="32" spans="1:2">
      <c r="A32" t="s">
        <v>215</v>
      </c>
      <c r="B32">
        <v>2</v>
      </c>
    </row>
    <row r="33" spans="1:2">
      <c r="A33" t="s">
        <v>171</v>
      </c>
      <c r="B33">
        <v>2</v>
      </c>
    </row>
    <row r="34" spans="1:2">
      <c r="A34" t="s">
        <v>180</v>
      </c>
      <c r="B34">
        <v>3</v>
      </c>
    </row>
    <row r="35" spans="1:2">
      <c r="A35" t="s">
        <v>73</v>
      </c>
      <c r="B35">
        <v>3</v>
      </c>
    </row>
    <row r="36" spans="1:2">
      <c r="A36" t="s">
        <v>54</v>
      </c>
      <c r="B36">
        <v>4</v>
      </c>
    </row>
    <row r="37" spans="1:2">
      <c r="A37" t="s">
        <v>114</v>
      </c>
      <c r="B37">
        <v>5</v>
      </c>
    </row>
    <row r="43" spans="1:2">
      <c r="A43" t="s">
        <v>789</v>
      </c>
      <c r="B43" t="s">
        <v>793</v>
      </c>
    </row>
    <row r="44" spans="1:2">
      <c r="A44" t="s">
        <v>58</v>
      </c>
      <c r="B44">
        <v>24</v>
      </c>
    </row>
    <row r="45" spans="1:2">
      <c r="A45" t="s">
        <v>42</v>
      </c>
      <c r="B45">
        <v>1</v>
      </c>
    </row>
    <row r="46" spans="1:2">
      <c r="A46" t="s">
        <v>77</v>
      </c>
      <c r="B46">
        <v>6</v>
      </c>
    </row>
  </sheetData>
  <autoFilter ref="A22:B37" xr:uid="{0CF0295F-CB05-4127-8119-F9C586B63898}">
    <sortState xmlns:xlrd2="http://schemas.microsoft.com/office/spreadsheetml/2017/richdata2" ref="A23:B37">
      <sortCondition ref="B22:B37"/>
    </sortState>
  </autoFilter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84627-FAD8-4C79-AA3A-6C598D58EEE0}">
  <dimension ref="A1:C14"/>
  <sheetViews>
    <sheetView workbookViewId="0">
      <selection activeCell="C14" sqref="C14"/>
    </sheetView>
  </sheetViews>
  <sheetFormatPr defaultColWidth="11.42578125" defaultRowHeight="14.45"/>
  <cols>
    <col min="1" max="1" width="23.7109375" bestFit="1" customWidth="1"/>
    <col min="2" max="2" width="14.140625" bestFit="1" customWidth="1"/>
  </cols>
  <sheetData>
    <row r="1" spans="1:3">
      <c r="A1" t="s">
        <v>794</v>
      </c>
      <c r="B1" t="s">
        <v>795</v>
      </c>
      <c r="C1" t="s">
        <v>796</v>
      </c>
    </row>
    <row r="2" spans="1:3">
      <c r="A2" t="s">
        <v>124</v>
      </c>
      <c r="B2" t="s">
        <v>71</v>
      </c>
      <c r="C2" t="s">
        <v>286</v>
      </c>
    </row>
    <row r="3" spans="1:3">
      <c r="A3" t="s">
        <v>797</v>
      </c>
      <c r="B3" t="s">
        <v>94</v>
      </c>
      <c r="C3" t="s">
        <v>309</v>
      </c>
    </row>
    <row r="4" spans="1:3">
      <c r="A4" t="s">
        <v>798</v>
      </c>
      <c r="B4" t="s">
        <v>170</v>
      </c>
      <c r="C4" t="s">
        <v>799</v>
      </c>
    </row>
    <row r="5" spans="1:3">
      <c r="A5" t="s">
        <v>800</v>
      </c>
      <c r="C5" t="s">
        <v>801</v>
      </c>
    </row>
    <row r="6" spans="1:3">
      <c r="A6" t="s">
        <v>802</v>
      </c>
      <c r="C6" t="s">
        <v>803</v>
      </c>
    </row>
    <row r="7" spans="1:3">
      <c r="A7" t="s">
        <v>72</v>
      </c>
      <c r="C7" t="s">
        <v>804</v>
      </c>
    </row>
    <row r="8" spans="1:3">
      <c r="A8" t="s">
        <v>805</v>
      </c>
      <c r="C8" t="s">
        <v>806</v>
      </c>
    </row>
    <row r="9" spans="1:3">
      <c r="A9" t="s">
        <v>537</v>
      </c>
      <c r="C9" t="s">
        <v>327</v>
      </c>
    </row>
    <row r="10" spans="1:3">
      <c r="A10" t="s">
        <v>807</v>
      </c>
      <c r="C10" t="s">
        <v>808</v>
      </c>
    </row>
    <row r="11" spans="1:3">
      <c r="C11" t="s">
        <v>809</v>
      </c>
    </row>
    <row r="12" spans="1:3">
      <c r="C12" t="s">
        <v>810</v>
      </c>
    </row>
    <row r="13" spans="1:3">
      <c r="C13" t="s">
        <v>302</v>
      </c>
    </row>
    <row r="14" spans="1:3">
      <c r="C14" t="s">
        <v>811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2DE4E-759A-4EAE-8D7A-2F7AD667CA7F}">
  <dimension ref="A1:E8"/>
  <sheetViews>
    <sheetView workbookViewId="0">
      <selection activeCell="E7" sqref="E7"/>
    </sheetView>
  </sheetViews>
  <sheetFormatPr defaultColWidth="11.42578125" defaultRowHeight="14.45"/>
  <cols>
    <col min="2" max="2" width="15.140625" bestFit="1" customWidth="1"/>
  </cols>
  <sheetData>
    <row r="1" spans="1:5">
      <c r="A1" t="s">
        <v>526</v>
      </c>
      <c r="B1" t="s">
        <v>812</v>
      </c>
    </row>
    <row r="2" spans="1:5">
      <c r="A2" t="s">
        <v>59</v>
      </c>
      <c r="B2" t="s">
        <v>813</v>
      </c>
      <c r="C2" t="s">
        <v>814</v>
      </c>
      <c r="D2" t="s">
        <v>815</v>
      </c>
      <c r="E2" t="s">
        <v>816</v>
      </c>
    </row>
    <row r="3" spans="1:5">
      <c r="A3" t="s">
        <v>817</v>
      </c>
      <c r="B3" t="s">
        <v>818</v>
      </c>
    </row>
    <row r="4" spans="1:5">
      <c r="A4" t="s">
        <v>107</v>
      </c>
      <c r="B4" t="s">
        <v>813</v>
      </c>
    </row>
    <row r="5" spans="1:5">
      <c r="A5" t="s">
        <v>819</v>
      </c>
      <c r="B5" t="s">
        <v>815</v>
      </c>
    </row>
    <row r="6" spans="1:5">
      <c r="A6" t="s">
        <v>820</v>
      </c>
      <c r="B6" t="s">
        <v>812</v>
      </c>
    </row>
    <row r="7" spans="1:5">
      <c r="A7" t="s">
        <v>821</v>
      </c>
      <c r="B7" t="s">
        <v>818</v>
      </c>
    </row>
    <row r="8" spans="1:5">
      <c r="A8" t="s">
        <v>598</v>
      </c>
      <c r="B8" t="s">
        <v>812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79348-3AA6-4D3A-A2FE-14E557A0B482}">
  <dimension ref="A1:C20"/>
  <sheetViews>
    <sheetView workbookViewId="0">
      <selection activeCell="F14" sqref="F14"/>
    </sheetView>
  </sheetViews>
  <sheetFormatPr defaultColWidth="11.42578125" defaultRowHeight="14.45"/>
  <cols>
    <col min="1" max="1" width="29.85546875" bestFit="1" customWidth="1"/>
    <col min="2" max="2" width="29.85546875" customWidth="1"/>
    <col min="3" max="3" width="25.5703125" bestFit="1" customWidth="1"/>
  </cols>
  <sheetData>
    <row r="1" spans="1:3">
      <c r="A1" t="s">
        <v>1</v>
      </c>
      <c r="B1" t="s">
        <v>822</v>
      </c>
      <c r="C1" s="13" t="s">
        <v>284</v>
      </c>
    </row>
    <row r="2" spans="1:3">
      <c r="A2" t="s">
        <v>114</v>
      </c>
      <c r="B2">
        <v>5</v>
      </c>
      <c r="C2" s="14">
        <v>5</v>
      </c>
    </row>
    <row r="3" spans="1:3">
      <c r="A3" t="s">
        <v>54</v>
      </c>
      <c r="B3">
        <v>5</v>
      </c>
      <c r="C3" s="14">
        <v>4</v>
      </c>
    </row>
    <row r="4" spans="1:3">
      <c r="A4" t="s">
        <v>180</v>
      </c>
      <c r="B4">
        <v>5</v>
      </c>
      <c r="C4" s="14">
        <v>3</v>
      </c>
    </row>
    <row r="5" spans="1:3">
      <c r="A5" t="s">
        <v>73</v>
      </c>
      <c r="B5">
        <v>5</v>
      </c>
      <c r="C5" s="14">
        <v>3</v>
      </c>
    </row>
    <row r="6" spans="1:3">
      <c r="A6" t="s">
        <v>95</v>
      </c>
      <c r="B6">
        <v>5</v>
      </c>
      <c r="C6" s="14">
        <v>2</v>
      </c>
    </row>
    <row r="7" spans="1:3">
      <c r="A7" t="s">
        <v>139</v>
      </c>
      <c r="B7">
        <v>5</v>
      </c>
      <c r="C7" s="14">
        <v>2</v>
      </c>
    </row>
    <row r="8" spans="1:3">
      <c r="A8" t="s">
        <v>161</v>
      </c>
      <c r="B8">
        <v>5</v>
      </c>
      <c r="C8" s="14">
        <v>2</v>
      </c>
    </row>
    <row r="9" spans="1:3">
      <c r="A9" t="s">
        <v>215</v>
      </c>
      <c r="B9">
        <v>5</v>
      </c>
      <c r="C9" s="14">
        <v>2</v>
      </c>
    </row>
    <row r="10" spans="1:3">
      <c r="A10" t="s">
        <v>171</v>
      </c>
      <c r="B10">
        <v>5</v>
      </c>
      <c r="C10" s="14">
        <v>2</v>
      </c>
    </row>
    <row r="11" spans="1:3">
      <c r="A11" t="s">
        <v>223</v>
      </c>
      <c r="B11">
        <v>5</v>
      </c>
      <c r="C11" s="14">
        <v>1</v>
      </c>
    </row>
    <row r="12" spans="1:3">
      <c r="A12" t="s">
        <v>103</v>
      </c>
      <c r="B12">
        <v>5</v>
      </c>
      <c r="C12" s="14">
        <v>1</v>
      </c>
    </row>
    <row r="13" spans="1:3">
      <c r="A13" t="s">
        <v>194</v>
      </c>
      <c r="B13">
        <v>5</v>
      </c>
      <c r="C13" s="14">
        <v>1</v>
      </c>
    </row>
    <row r="14" spans="1:3">
      <c r="A14" t="s">
        <v>792</v>
      </c>
      <c r="B14">
        <v>5</v>
      </c>
      <c r="C14" s="14">
        <v>1</v>
      </c>
    </row>
    <row r="15" spans="1:3">
      <c r="A15" t="s">
        <v>35</v>
      </c>
      <c r="B15">
        <v>5</v>
      </c>
      <c r="C15" s="14">
        <v>1</v>
      </c>
    </row>
    <row r="16" spans="1:3">
      <c r="A16" t="s">
        <v>274</v>
      </c>
      <c r="B16">
        <v>5</v>
      </c>
      <c r="C16" s="14">
        <v>0</v>
      </c>
    </row>
    <row r="18" spans="1:3">
      <c r="A18" t="str" cm="1">
        <f t="array" ref="A18:A20">_xlfn.UNIQUE(Visitas_Operaciones!L2:L31)</f>
        <v>Nororiente</v>
      </c>
      <c r="B18">
        <f>SUM(B2:B16)</f>
        <v>75</v>
      </c>
      <c r="C18" s="14"/>
    </row>
    <row r="19" spans="1:3">
      <c r="A19" t="str">
        <v>Centro</v>
      </c>
    </row>
    <row r="20" spans="1:3">
      <c r="A20" t="str">
        <v>Occidente</v>
      </c>
    </row>
  </sheetData>
  <autoFilter ref="A1:C15" xr:uid="{17979348-3AA6-4D3A-A2FE-14E557A0B482}">
    <sortState xmlns:xlrd2="http://schemas.microsoft.com/office/spreadsheetml/2017/richdata2" ref="A2:C16">
      <sortCondition descending="1" ref="C1:C15"/>
    </sortState>
  </autoFilter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64806-2444-4FC7-8CFD-D2DDAD0964D9}">
  <dimension ref="A1:B11"/>
  <sheetViews>
    <sheetView workbookViewId="0">
      <selection activeCell="D21" sqref="D21"/>
    </sheetView>
  </sheetViews>
  <sheetFormatPr defaultColWidth="11.42578125" defaultRowHeight="14.45"/>
  <cols>
    <col min="2" max="2" width="29.42578125" bestFit="1" customWidth="1"/>
  </cols>
  <sheetData>
    <row r="1" spans="1:2">
      <c r="A1" t="s">
        <v>823</v>
      </c>
      <c r="B1" t="s">
        <v>824</v>
      </c>
    </row>
    <row r="2" spans="1:2">
      <c r="A2" t="s">
        <v>825</v>
      </c>
      <c r="B2" t="s">
        <v>826</v>
      </c>
    </row>
    <row r="3" spans="1:2">
      <c r="A3" t="s">
        <v>827</v>
      </c>
      <c r="B3" t="s">
        <v>828</v>
      </c>
    </row>
    <row r="4" spans="1:2">
      <c r="A4" t="s">
        <v>829</v>
      </c>
      <c r="B4" t="s">
        <v>830</v>
      </c>
    </row>
    <row r="5" spans="1:2">
      <c r="A5" t="s">
        <v>831</v>
      </c>
      <c r="B5" t="s">
        <v>832</v>
      </c>
    </row>
    <row r="6" spans="1:2">
      <c r="A6" t="s">
        <v>833</v>
      </c>
      <c r="B6" t="s">
        <v>834</v>
      </c>
    </row>
    <row r="7" spans="1:2">
      <c r="A7" t="s">
        <v>835</v>
      </c>
      <c r="B7" t="s">
        <v>836</v>
      </c>
    </row>
    <row r="8" spans="1:2">
      <c r="A8" t="s">
        <v>837</v>
      </c>
      <c r="B8" t="s">
        <v>838</v>
      </c>
    </row>
    <row r="9" spans="1:2">
      <c r="A9" t="s">
        <v>839</v>
      </c>
      <c r="B9" t="s">
        <v>840</v>
      </c>
    </row>
    <row r="10" spans="1:2">
      <c r="A10" t="s">
        <v>841</v>
      </c>
      <c r="B10" t="s">
        <v>842</v>
      </c>
    </row>
    <row r="11" spans="1:2">
      <c r="A11" t="s">
        <v>843</v>
      </c>
      <c r="B11" t="s">
        <v>72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68A84-DD8E-4B72-9070-0A2BCA883ABB}">
  <dimension ref="A1:V4"/>
  <sheetViews>
    <sheetView topLeftCell="Q1" workbookViewId="0"/>
  </sheetViews>
  <sheetFormatPr defaultColWidth="11.42578125" defaultRowHeight="14.45"/>
  <sheetData>
    <row r="1" spans="1:22" ht="66" thickBot="1">
      <c r="A1" s="8">
        <v>3556027</v>
      </c>
      <c r="B1" s="8" t="s">
        <v>844</v>
      </c>
      <c r="C1" s="9"/>
      <c r="D1" s="8" t="s">
        <v>845</v>
      </c>
      <c r="E1" s="8" t="s">
        <v>846</v>
      </c>
      <c r="F1" s="8" t="s">
        <v>847</v>
      </c>
      <c r="G1" s="8" t="s">
        <v>848</v>
      </c>
      <c r="H1" s="8">
        <v>10101</v>
      </c>
      <c r="I1" s="10">
        <v>46192</v>
      </c>
      <c r="J1" s="10">
        <v>46192</v>
      </c>
      <c r="K1" s="11">
        <v>0.42430555555555555</v>
      </c>
      <c r="L1" s="8">
        <v>2026</v>
      </c>
      <c r="M1" s="8">
        <v>6</v>
      </c>
      <c r="N1" s="8" t="s">
        <v>40</v>
      </c>
      <c r="O1" s="8" t="s">
        <v>849</v>
      </c>
      <c r="P1" s="12" t="s">
        <v>850</v>
      </c>
      <c r="Q1" s="8" t="s">
        <v>851</v>
      </c>
      <c r="R1" s="1" t="s">
        <v>852</v>
      </c>
      <c r="S1" s="8" t="s">
        <v>853</v>
      </c>
      <c r="T1" s="9"/>
      <c r="V1" t="str" cm="1">
        <f t="array" ref="V1">ExtraerHipervinculo(R1)</f>
        <v>https://oxxo-colombia.oneapp.cl/static/img/Respuesta/61167871/5160fe0041f643f0e720405bccddf42c.jpg</v>
      </c>
    </row>
    <row r="2" spans="1:22" ht="66" thickBot="1">
      <c r="A2" s="8">
        <v>3556039</v>
      </c>
      <c r="B2" s="8" t="s">
        <v>844</v>
      </c>
      <c r="C2" s="9"/>
      <c r="D2" s="8" t="s">
        <v>845</v>
      </c>
      <c r="E2" s="8" t="s">
        <v>846</v>
      </c>
      <c r="F2" s="8" t="s">
        <v>847</v>
      </c>
      <c r="G2" s="8" t="s">
        <v>848</v>
      </c>
      <c r="H2" s="8">
        <v>10101</v>
      </c>
      <c r="I2" s="10">
        <v>46192</v>
      </c>
      <c r="J2" s="10">
        <v>46192</v>
      </c>
      <c r="K2" s="11">
        <v>0.43958333333333333</v>
      </c>
      <c r="L2" s="8">
        <v>2026</v>
      </c>
      <c r="M2" s="8">
        <v>6</v>
      </c>
      <c r="N2" s="8" t="s">
        <v>40</v>
      </c>
      <c r="O2" s="8" t="s">
        <v>849</v>
      </c>
      <c r="P2" s="12" t="s">
        <v>850</v>
      </c>
      <c r="Q2" s="8" t="s">
        <v>854</v>
      </c>
      <c r="R2" s="1" t="s">
        <v>852</v>
      </c>
      <c r="S2" s="8" t="s">
        <v>855</v>
      </c>
      <c r="T2" s="9"/>
      <c r="V2" t="str" cm="1">
        <f t="array" ref="V2">ExtraerHipervinculo(R2)</f>
        <v>https://oxxo-colombia.oneapp.cl/static/img/Respuesta/61169370/24c75b247668933e2e747b48308fcb1e.jpg</v>
      </c>
    </row>
    <row r="3" spans="1:22" ht="53.1" thickBot="1">
      <c r="A3" s="8">
        <v>3556051</v>
      </c>
      <c r="B3" s="8" t="s">
        <v>856</v>
      </c>
      <c r="C3" s="9"/>
      <c r="D3" s="8" t="s">
        <v>857</v>
      </c>
      <c r="E3" s="8" t="s">
        <v>846</v>
      </c>
      <c r="F3" s="8" t="s">
        <v>847</v>
      </c>
      <c r="G3" s="8" t="s">
        <v>858</v>
      </c>
      <c r="H3" s="8">
        <v>33333</v>
      </c>
      <c r="I3" s="10">
        <v>46192</v>
      </c>
      <c r="J3" s="10">
        <v>46192</v>
      </c>
      <c r="K3" s="11">
        <v>0.44722222222222224</v>
      </c>
      <c r="L3" s="8">
        <v>2026</v>
      </c>
      <c r="M3" s="8">
        <v>6</v>
      </c>
      <c r="N3" s="8" t="s">
        <v>40</v>
      </c>
      <c r="O3" s="8" t="s">
        <v>849</v>
      </c>
      <c r="P3" s="12" t="s">
        <v>850</v>
      </c>
      <c r="Q3" s="8" t="s">
        <v>859</v>
      </c>
      <c r="R3" s="1" t="s">
        <v>852</v>
      </c>
      <c r="S3" s="8" t="s">
        <v>860</v>
      </c>
      <c r="T3" s="9"/>
      <c r="V3" t="str" cm="1">
        <f t="array" ref="V3">ExtraerHipervinculo(R3)</f>
        <v>https://oxxo-colombia.oneapp.cl/static/img/Respuesta/61169766/f54fac2058f1766ffdba08335c6507cb.jpg</v>
      </c>
    </row>
    <row r="4" spans="1:22" ht="66" thickBot="1">
      <c r="A4" s="8">
        <v>3556166</v>
      </c>
      <c r="B4" s="8" t="s">
        <v>72</v>
      </c>
      <c r="C4" s="9"/>
      <c r="D4" s="8" t="s">
        <v>861</v>
      </c>
      <c r="E4" s="8" t="s">
        <v>846</v>
      </c>
      <c r="F4" s="8" t="s">
        <v>847</v>
      </c>
      <c r="G4" s="8" t="s">
        <v>862</v>
      </c>
      <c r="H4" s="8">
        <v>99999</v>
      </c>
      <c r="I4" s="10">
        <v>46192</v>
      </c>
      <c r="J4" s="10">
        <v>46192</v>
      </c>
      <c r="K4" s="11">
        <v>0.54374999999999996</v>
      </c>
      <c r="L4" s="8">
        <v>2026</v>
      </c>
      <c r="M4" s="8">
        <v>6</v>
      </c>
      <c r="N4" s="8" t="s">
        <v>40</v>
      </c>
      <c r="O4" s="8" t="s">
        <v>849</v>
      </c>
      <c r="P4" s="12" t="s">
        <v>850</v>
      </c>
      <c r="Q4" s="8" t="s">
        <v>863</v>
      </c>
      <c r="R4" s="1" t="s">
        <v>852</v>
      </c>
      <c r="S4" s="8" t="s">
        <v>864</v>
      </c>
      <c r="T4" s="9"/>
      <c r="V4" t="str" cm="1">
        <f t="array" ref="V4">ExtraerHipervinculo(R4)</f>
        <v>https://oxxo-colombia.oneapp.cl/static/img/Respuesta/61174941/ce28ceab02b85d03b664deed5b0055e3.jpg</v>
      </c>
    </row>
  </sheetData>
  <hyperlinks>
    <hyperlink ref="R1" r:id="rId1" display="https://oxxo-colombia.oneapp.cl/static/img/Respuesta/61167871/5160fe0041f643f0e720405bccddf42c.jpg" xr:uid="{7B59C338-7C32-48A1-82C0-D17F5E3B9728}"/>
    <hyperlink ref="R2" r:id="rId2" display="https://oxxo-colombia.oneapp.cl/static/img/Respuesta/61169370/24c75b247668933e2e747b48308fcb1e.jpg" xr:uid="{4728F62C-1A72-4645-B800-EB7523295FE0}"/>
    <hyperlink ref="R3" r:id="rId3" display="https://oxxo-colombia.oneapp.cl/static/img/Respuesta/61169766/f54fac2058f1766ffdba08335c6507cb.jpg" xr:uid="{9751CF6D-69FB-4188-B01D-F5FF6671520C}"/>
    <hyperlink ref="R4" r:id="rId4" display="https://oxxo-colombia.oneapp.cl/static/img/Respuesta/61174941/ce28ceab02b85d03b664deed5b0055e3.jpg" xr:uid="{1DCD86A7-C9A5-41EC-A624-E297C6CDDE00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007A4-B94D-4F83-AC2C-23E0BB1AD4F2}">
  <dimension ref="A1:D3"/>
  <sheetViews>
    <sheetView workbookViewId="0">
      <selection activeCell="B2" sqref="B2:B3"/>
    </sheetView>
  </sheetViews>
  <sheetFormatPr defaultColWidth="11.42578125" defaultRowHeight="14.45"/>
  <cols>
    <col min="1" max="1" width="12.42578125" bestFit="1" customWidth="1"/>
    <col min="2" max="2" width="16.5703125" bestFit="1" customWidth="1"/>
    <col min="3" max="3" width="16.7109375" bestFit="1" customWidth="1"/>
    <col min="5" max="5" width="12.42578125" bestFit="1" customWidth="1"/>
  </cols>
  <sheetData>
    <row r="1" spans="1:4">
      <c r="B1" s="13" t="s">
        <v>865</v>
      </c>
      <c r="C1" s="13" t="s">
        <v>866</v>
      </c>
      <c r="D1" s="13" t="s">
        <v>867</v>
      </c>
    </row>
    <row r="2" spans="1:4">
      <c r="A2" t="s">
        <v>868</v>
      </c>
      <c r="B2" s="13">
        <v>33</v>
      </c>
      <c r="C2" s="13">
        <v>26</v>
      </c>
      <c r="D2" s="13">
        <v>2</v>
      </c>
    </row>
    <row r="3" spans="1:4">
      <c r="A3" t="s">
        <v>824</v>
      </c>
      <c r="B3" s="13">
        <v>10</v>
      </c>
      <c r="C3" s="13">
        <v>8</v>
      </c>
      <c r="D3" s="13">
        <v>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BC74E-BB85-42CF-9E9C-14206CFBF464}">
  <dimension ref="A1:G37"/>
  <sheetViews>
    <sheetView topLeftCell="A15" workbookViewId="0">
      <selection activeCell="A30" sqref="A30"/>
    </sheetView>
  </sheetViews>
  <sheetFormatPr defaultColWidth="8.7109375" defaultRowHeight="14.45"/>
  <cols>
    <col min="1" max="1" width="14" customWidth="1"/>
    <col min="2" max="2" width="12" customWidth="1"/>
    <col min="3" max="3" width="14" customWidth="1"/>
    <col min="4" max="4" width="17" customWidth="1"/>
    <col min="5" max="5" width="13" customWidth="1"/>
    <col min="6" max="6" width="43" customWidth="1"/>
    <col min="7" max="7" width="28" customWidth="1"/>
  </cols>
  <sheetData>
    <row r="1" spans="1:7" ht="26.1" customHeight="1">
      <c r="A1" s="7" t="s">
        <v>22</v>
      </c>
      <c r="B1" s="7" t="s">
        <v>6</v>
      </c>
      <c r="C1" s="7" t="s">
        <v>869</v>
      </c>
      <c r="D1" s="7" t="s">
        <v>870</v>
      </c>
      <c r="E1" s="7" t="s">
        <v>871</v>
      </c>
      <c r="F1" s="7" t="s">
        <v>872</v>
      </c>
      <c r="G1" s="7" t="s">
        <v>873</v>
      </c>
    </row>
    <row r="2" spans="1:7">
      <c r="A2" s="5">
        <v>1</v>
      </c>
      <c r="B2" s="5">
        <v>2025</v>
      </c>
      <c r="C2" s="5" t="str">
        <f t="shared" ref="C2:C37" si="0">_xlfn.CONCAT(A2,"-",B2)</f>
        <v>1-2025</v>
      </c>
      <c r="D2" s="5" t="s">
        <v>874</v>
      </c>
      <c r="E2" s="5" t="s">
        <v>875</v>
      </c>
      <c r="F2" s="6" t="s">
        <v>876</v>
      </c>
      <c r="G2" s="6" t="s">
        <v>877</v>
      </c>
    </row>
    <row r="3" spans="1:7">
      <c r="A3" s="4">
        <v>2</v>
      </c>
      <c r="B3" s="4">
        <v>2025</v>
      </c>
      <c r="C3" s="5" t="str">
        <f t="shared" si="0"/>
        <v>2-2025</v>
      </c>
      <c r="D3" s="4" t="s">
        <v>878</v>
      </c>
      <c r="E3" s="4" t="s">
        <v>879</v>
      </c>
      <c r="F3" s="3" t="s">
        <v>880</v>
      </c>
      <c r="G3" s="3" t="s">
        <v>881</v>
      </c>
    </row>
    <row r="4" spans="1:7">
      <c r="A4" s="5">
        <v>13</v>
      </c>
      <c r="B4" s="5">
        <v>2025</v>
      </c>
      <c r="C4" s="5" t="str">
        <f t="shared" si="0"/>
        <v>13-2025</v>
      </c>
      <c r="D4" s="5" t="s">
        <v>882</v>
      </c>
      <c r="E4" s="5" t="s">
        <v>879</v>
      </c>
      <c r="F4" s="6" t="s">
        <v>883</v>
      </c>
      <c r="G4" s="6" t="s">
        <v>881</v>
      </c>
    </row>
    <row r="5" spans="1:7">
      <c r="A5" s="4">
        <v>16</v>
      </c>
      <c r="B5" s="4">
        <v>2025</v>
      </c>
      <c r="C5" s="5" t="str">
        <f t="shared" si="0"/>
        <v>16-2025</v>
      </c>
      <c r="D5" s="4" t="s">
        <v>884</v>
      </c>
      <c r="E5" s="4" t="s">
        <v>885</v>
      </c>
      <c r="F5" s="3" t="s">
        <v>886</v>
      </c>
      <c r="G5" s="3" t="s">
        <v>887</v>
      </c>
    </row>
    <row r="6" spans="1:7">
      <c r="A6" s="5">
        <v>16</v>
      </c>
      <c r="B6" s="5">
        <v>2025</v>
      </c>
      <c r="C6" s="5" t="str">
        <f t="shared" si="0"/>
        <v>16-2025</v>
      </c>
      <c r="D6" s="5" t="s">
        <v>888</v>
      </c>
      <c r="E6" s="5" t="s">
        <v>889</v>
      </c>
      <c r="F6" s="6" t="s">
        <v>890</v>
      </c>
      <c r="G6" s="6" t="s">
        <v>887</v>
      </c>
    </row>
    <row r="7" spans="1:7">
      <c r="A7" s="4">
        <v>18</v>
      </c>
      <c r="B7" s="4">
        <v>2025</v>
      </c>
      <c r="C7" s="5" t="str">
        <f t="shared" si="0"/>
        <v>18-2025</v>
      </c>
      <c r="D7" s="4" t="s">
        <v>891</v>
      </c>
      <c r="E7" s="4" t="s">
        <v>885</v>
      </c>
      <c r="F7" s="3" t="s">
        <v>892</v>
      </c>
      <c r="G7" s="3" t="s">
        <v>877</v>
      </c>
    </row>
    <row r="8" spans="1:7">
      <c r="A8" s="5">
        <v>23</v>
      </c>
      <c r="B8" s="5">
        <v>2025</v>
      </c>
      <c r="C8" s="5" t="str">
        <f t="shared" si="0"/>
        <v>23-2025</v>
      </c>
      <c r="D8" s="5" t="s">
        <v>893</v>
      </c>
      <c r="E8" s="5" t="s">
        <v>879</v>
      </c>
      <c r="F8" s="6" t="s">
        <v>894</v>
      </c>
      <c r="G8" s="6" t="s">
        <v>881</v>
      </c>
    </row>
    <row r="9" spans="1:7">
      <c r="A9" s="4">
        <v>26</v>
      </c>
      <c r="B9" s="4">
        <v>2025</v>
      </c>
      <c r="C9" s="5" t="str">
        <f t="shared" si="0"/>
        <v>26-2025</v>
      </c>
      <c r="D9" s="4" t="s">
        <v>895</v>
      </c>
      <c r="E9" s="4" t="s">
        <v>879</v>
      </c>
      <c r="F9" s="3" t="s">
        <v>896</v>
      </c>
      <c r="G9" s="3" t="s">
        <v>881</v>
      </c>
    </row>
    <row r="10" spans="1:7">
      <c r="A10" s="5">
        <v>27</v>
      </c>
      <c r="B10" s="5">
        <v>2025</v>
      </c>
      <c r="C10" s="5" t="str">
        <f t="shared" si="0"/>
        <v>27-2025</v>
      </c>
      <c r="D10" s="5" t="s">
        <v>897</v>
      </c>
      <c r="E10" s="5" t="s">
        <v>879</v>
      </c>
      <c r="F10" s="6" t="s">
        <v>898</v>
      </c>
      <c r="G10" s="6" t="s">
        <v>881</v>
      </c>
    </row>
    <row r="11" spans="1:7">
      <c r="A11" s="4">
        <v>30</v>
      </c>
      <c r="B11" s="4">
        <v>2025</v>
      </c>
      <c r="C11" s="5" t="str">
        <f t="shared" si="0"/>
        <v>30-2025</v>
      </c>
      <c r="D11" s="4" t="s">
        <v>899</v>
      </c>
      <c r="E11" s="4" t="s">
        <v>900</v>
      </c>
      <c r="F11" s="3" t="s">
        <v>901</v>
      </c>
      <c r="G11" s="3" t="s">
        <v>877</v>
      </c>
    </row>
    <row r="12" spans="1:7">
      <c r="A12" s="5">
        <v>32</v>
      </c>
      <c r="B12" s="5">
        <v>2025</v>
      </c>
      <c r="C12" s="5" t="str">
        <f t="shared" si="0"/>
        <v>32-2025</v>
      </c>
      <c r="D12" s="5" t="s">
        <v>902</v>
      </c>
      <c r="E12" s="5" t="s">
        <v>885</v>
      </c>
      <c r="F12" s="6" t="s">
        <v>903</v>
      </c>
      <c r="G12" s="6" t="s">
        <v>877</v>
      </c>
    </row>
    <row r="13" spans="1:7">
      <c r="A13" s="4">
        <v>34</v>
      </c>
      <c r="B13" s="4">
        <v>2025</v>
      </c>
      <c r="C13" s="5" t="str">
        <f t="shared" si="0"/>
        <v>34-2025</v>
      </c>
      <c r="D13" s="4" t="s">
        <v>904</v>
      </c>
      <c r="E13" s="4" t="s">
        <v>879</v>
      </c>
      <c r="F13" s="3" t="s">
        <v>905</v>
      </c>
      <c r="G13" s="3" t="s">
        <v>881</v>
      </c>
    </row>
    <row r="14" spans="1:7">
      <c r="A14" s="5">
        <v>42</v>
      </c>
      <c r="B14" s="5">
        <v>2025</v>
      </c>
      <c r="C14" s="5" t="str">
        <f t="shared" si="0"/>
        <v>42-2025</v>
      </c>
      <c r="D14" s="5" t="s">
        <v>906</v>
      </c>
      <c r="E14" s="5" t="s">
        <v>879</v>
      </c>
      <c r="F14" s="6" t="s">
        <v>907</v>
      </c>
      <c r="G14" s="6" t="s">
        <v>881</v>
      </c>
    </row>
    <row r="15" spans="1:7">
      <c r="A15" s="4">
        <v>45</v>
      </c>
      <c r="B15" s="4">
        <v>2025</v>
      </c>
      <c r="C15" s="5" t="str">
        <f t="shared" si="0"/>
        <v>45-2025</v>
      </c>
      <c r="D15" s="4" t="s">
        <v>908</v>
      </c>
      <c r="E15" s="4" t="s">
        <v>879</v>
      </c>
      <c r="F15" s="3" t="s">
        <v>909</v>
      </c>
      <c r="G15" s="3" t="s">
        <v>881</v>
      </c>
    </row>
    <row r="16" spans="1:7">
      <c r="A16" s="5">
        <v>47</v>
      </c>
      <c r="B16" s="5">
        <v>2025</v>
      </c>
      <c r="C16" s="5" t="str">
        <f t="shared" si="0"/>
        <v>47-2025</v>
      </c>
      <c r="D16" s="5" t="s">
        <v>910</v>
      </c>
      <c r="E16" s="5" t="s">
        <v>879</v>
      </c>
      <c r="F16" s="6" t="s">
        <v>911</v>
      </c>
      <c r="G16" s="6" t="s">
        <v>881</v>
      </c>
    </row>
    <row r="17" spans="1:7">
      <c r="A17" s="4">
        <v>50</v>
      </c>
      <c r="B17" s="4">
        <v>2025</v>
      </c>
      <c r="C17" s="5" t="str">
        <f t="shared" si="0"/>
        <v>50-2025</v>
      </c>
      <c r="D17" s="4" t="s">
        <v>912</v>
      </c>
      <c r="E17" s="4" t="s">
        <v>879</v>
      </c>
      <c r="F17" s="3" t="s">
        <v>913</v>
      </c>
      <c r="G17" s="3" t="s">
        <v>877</v>
      </c>
    </row>
    <row r="18" spans="1:7">
      <c r="A18" s="5">
        <v>52</v>
      </c>
      <c r="B18" s="5">
        <v>2025</v>
      </c>
      <c r="C18" s="5" t="str">
        <f t="shared" si="0"/>
        <v>52-2025</v>
      </c>
      <c r="D18" s="5" t="s">
        <v>914</v>
      </c>
      <c r="E18" s="5" t="s">
        <v>885</v>
      </c>
      <c r="F18" s="6" t="s">
        <v>915</v>
      </c>
      <c r="G18" s="6" t="s">
        <v>877</v>
      </c>
    </row>
    <row r="19" spans="1:7">
      <c r="A19" s="4">
        <v>1</v>
      </c>
      <c r="B19" s="4">
        <v>2026</v>
      </c>
      <c r="C19" s="5" t="str">
        <f t="shared" si="0"/>
        <v>1-2026</v>
      </c>
      <c r="D19" s="4" t="s">
        <v>916</v>
      </c>
      <c r="E19" s="4" t="s">
        <v>885</v>
      </c>
      <c r="F19" s="3" t="s">
        <v>876</v>
      </c>
      <c r="G19" s="3" t="s">
        <v>877</v>
      </c>
    </row>
    <row r="20" spans="1:7">
      <c r="A20" s="5">
        <v>3</v>
      </c>
      <c r="B20" s="5">
        <v>2026</v>
      </c>
      <c r="C20" s="5" t="str">
        <f t="shared" si="0"/>
        <v>3-2026</v>
      </c>
      <c r="D20" s="5" t="s">
        <v>917</v>
      </c>
      <c r="E20" s="5" t="s">
        <v>879</v>
      </c>
      <c r="F20" s="6" t="s">
        <v>880</v>
      </c>
      <c r="G20" s="6" t="s">
        <v>881</v>
      </c>
    </row>
    <row r="21" spans="1:7">
      <c r="A21" s="4">
        <v>13</v>
      </c>
      <c r="B21" s="4">
        <v>2026</v>
      </c>
      <c r="C21" s="5" t="str">
        <f t="shared" si="0"/>
        <v>13-2026</v>
      </c>
      <c r="D21" s="4" t="s">
        <v>918</v>
      </c>
      <c r="E21" s="4" t="s">
        <v>879</v>
      </c>
      <c r="F21" s="3" t="s">
        <v>883</v>
      </c>
      <c r="G21" s="3" t="s">
        <v>881</v>
      </c>
    </row>
    <row r="22" spans="1:7">
      <c r="A22" s="5">
        <v>14</v>
      </c>
      <c r="B22" s="5">
        <v>2026</v>
      </c>
      <c r="C22" s="5" t="str">
        <f t="shared" si="0"/>
        <v>14-2026</v>
      </c>
      <c r="D22" s="5" t="s">
        <v>919</v>
      </c>
      <c r="E22" s="5" t="s">
        <v>885</v>
      </c>
      <c r="F22" s="6" t="s">
        <v>886</v>
      </c>
      <c r="G22" s="6" t="s">
        <v>887</v>
      </c>
    </row>
    <row r="23" spans="1:7">
      <c r="A23" s="4">
        <v>14</v>
      </c>
      <c r="B23" s="4">
        <v>2026</v>
      </c>
      <c r="C23" s="5" t="str">
        <f t="shared" si="0"/>
        <v>14-2026</v>
      </c>
      <c r="D23" s="4" t="s">
        <v>920</v>
      </c>
      <c r="E23" s="4" t="s">
        <v>889</v>
      </c>
      <c r="F23" s="3" t="s">
        <v>890</v>
      </c>
      <c r="G23" s="3" t="s">
        <v>887</v>
      </c>
    </row>
    <row r="24" spans="1:7">
      <c r="A24" s="5">
        <v>18</v>
      </c>
      <c r="B24" s="5">
        <v>2026</v>
      </c>
      <c r="C24" s="5" t="str">
        <f t="shared" si="0"/>
        <v>18-2026</v>
      </c>
      <c r="D24" s="5" t="s">
        <v>921</v>
      </c>
      <c r="E24" s="5" t="s">
        <v>889</v>
      </c>
      <c r="F24" s="6" t="s">
        <v>892</v>
      </c>
      <c r="G24" s="6" t="s">
        <v>877</v>
      </c>
    </row>
    <row r="25" spans="1:7">
      <c r="A25" s="4">
        <v>21</v>
      </c>
      <c r="B25" s="4">
        <v>2026</v>
      </c>
      <c r="C25" s="5" t="str">
        <f t="shared" si="0"/>
        <v>21-2026</v>
      </c>
      <c r="D25" s="4" t="s">
        <v>922</v>
      </c>
      <c r="E25" s="4" t="s">
        <v>879</v>
      </c>
      <c r="F25" s="3" t="s">
        <v>923</v>
      </c>
      <c r="G25" s="3" t="s">
        <v>881</v>
      </c>
    </row>
    <row r="26" spans="1:7">
      <c r="A26" s="5">
        <v>24</v>
      </c>
      <c r="B26" s="5">
        <v>2026</v>
      </c>
      <c r="C26" s="5" t="str">
        <f t="shared" si="0"/>
        <v>24-2026</v>
      </c>
      <c r="D26" s="5" t="s">
        <v>924</v>
      </c>
      <c r="E26" s="5" t="s">
        <v>879</v>
      </c>
      <c r="F26" s="6" t="s">
        <v>896</v>
      </c>
      <c r="G26" s="6" t="s">
        <v>881</v>
      </c>
    </row>
    <row r="27" spans="1:7">
      <c r="A27" s="4">
        <v>25</v>
      </c>
      <c r="B27" s="4">
        <v>2026</v>
      </c>
      <c r="C27" s="5" t="str">
        <f t="shared" si="0"/>
        <v>25-2026</v>
      </c>
      <c r="D27" s="4" t="s">
        <v>925</v>
      </c>
      <c r="E27" s="4" t="s">
        <v>879</v>
      </c>
      <c r="F27" s="3" t="s">
        <v>926</v>
      </c>
      <c r="G27" s="3" t="s">
        <v>881</v>
      </c>
    </row>
    <row r="28" spans="1:7">
      <c r="A28" s="5">
        <v>27</v>
      </c>
      <c r="B28" s="5">
        <v>2026</v>
      </c>
      <c r="C28" s="5" t="str">
        <f t="shared" si="0"/>
        <v>27-2026</v>
      </c>
      <c r="D28" s="5" t="s">
        <v>927</v>
      </c>
      <c r="E28" s="5" t="s">
        <v>879</v>
      </c>
      <c r="F28" s="6" t="s">
        <v>928</v>
      </c>
      <c r="G28" s="6" t="s">
        <v>881</v>
      </c>
    </row>
    <row r="29" spans="1:7">
      <c r="A29" s="4">
        <v>29</v>
      </c>
      <c r="B29" s="4">
        <v>2026</v>
      </c>
      <c r="C29" s="5" t="str">
        <f t="shared" si="0"/>
        <v>29-2026</v>
      </c>
      <c r="D29" s="4" t="s">
        <v>929</v>
      </c>
      <c r="E29" s="4" t="s">
        <v>885</v>
      </c>
      <c r="F29" s="3" t="s">
        <v>930</v>
      </c>
      <c r="G29" s="3" t="s">
        <v>931</v>
      </c>
    </row>
    <row r="30" spans="1:7">
      <c r="A30" s="5">
        <v>30</v>
      </c>
      <c r="B30" s="5">
        <v>2026</v>
      </c>
      <c r="C30" s="5" t="str">
        <f t="shared" si="0"/>
        <v>30-2026</v>
      </c>
      <c r="D30" s="5" t="s">
        <v>932</v>
      </c>
      <c r="E30" s="5" t="s">
        <v>879</v>
      </c>
      <c r="F30" s="6" t="s">
        <v>901</v>
      </c>
      <c r="G30" s="6" t="s">
        <v>877</v>
      </c>
    </row>
    <row r="31" spans="1:7">
      <c r="A31" s="4">
        <v>32</v>
      </c>
      <c r="B31" s="4">
        <v>2026</v>
      </c>
      <c r="C31" s="5" t="str">
        <f t="shared" si="0"/>
        <v>32-2026</v>
      </c>
      <c r="D31" s="4" t="s">
        <v>933</v>
      </c>
      <c r="E31" s="4" t="s">
        <v>889</v>
      </c>
      <c r="F31" s="3" t="s">
        <v>903</v>
      </c>
      <c r="G31" s="3" t="s">
        <v>877</v>
      </c>
    </row>
    <row r="32" spans="1:7">
      <c r="A32" s="5">
        <v>34</v>
      </c>
      <c r="B32" s="5">
        <v>2026</v>
      </c>
      <c r="C32" s="5" t="str">
        <f t="shared" si="0"/>
        <v>34-2026</v>
      </c>
      <c r="D32" s="5" t="s">
        <v>934</v>
      </c>
      <c r="E32" s="5" t="s">
        <v>879</v>
      </c>
      <c r="F32" s="6" t="s">
        <v>905</v>
      </c>
      <c r="G32" s="6" t="s">
        <v>881</v>
      </c>
    </row>
    <row r="33" spans="1:7">
      <c r="A33" s="4">
        <v>42</v>
      </c>
      <c r="B33" s="4">
        <v>2026</v>
      </c>
      <c r="C33" s="5" t="str">
        <f t="shared" si="0"/>
        <v>42-2026</v>
      </c>
      <c r="D33" s="4" t="s">
        <v>935</v>
      </c>
      <c r="E33" s="4" t="s">
        <v>879</v>
      </c>
      <c r="F33" s="3" t="s">
        <v>907</v>
      </c>
      <c r="G33" s="3" t="s">
        <v>881</v>
      </c>
    </row>
    <row r="34" spans="1:7">
      <c r="A34" s="5">
        <v>45</v>
      </c>
      <c r="B34" s="5">
        <v>2026</v>
      </c>
      <c r="C34" s="5" t="str">
        <f t="shared" si="0"/>
        <v>45-2026</v>
      </c>
      <c r="D34" s="5" t="s">
        <v>936</v>
      </c>
      <c r="E34" s="5" t="s">
        <v>879</v>
      </c>
      <c r="F34" s="6" t="s">
        <v>909</v>
      </c>
      <c r="G34" s="6" t="s">
        <v>881</v>
      </c>
    </row>
    <row r="35" spans="1:7">
      <c r="A35" s="4">
        <v>47</v>
      </c>
      <c r="B35" s="4">
        <v>2026</v>
      </c>
      <c r="C35" s="5" t="str">
        <f t="shared" si="0"/>
        <v>47-2026</v>
      </c>
      <c r="D35" s="4" t="s">
        <v>937</v>
      </c>
      <c r="E35" s="4" t="s">
        <v>879</v>
      </c>
      <c r="F35" s="3" t="s">
        <v>911</v>
      </c>
      <c r="G35" s="3" t="s">
        <v>881</v>
      </c>
    </row>
    <row r="36" spans="1:7">
      <c r="A36" s="5">
        <v>50</v>
      </c>
      <c r="B36" s="5">
        <v>2026</v>
      </c>
      <c r="C36" s="5" t="str">
        <f t="shared" si="0"/>
        <v>50-2026</v>
      </c>
      <c r="D36" s="5" t="s">
        <v>938</v>
      </c>
      <c r="E36" s="5" t="s">
        <v>939</v>
      </c>
      <c r="F36" s="6" t="s">
        <v>913</v>
      </c>
      <c r="G36" s="6" t="s">
        <v>877</v>
      </c>
    </row>
    <row r="37" spans="1:7">
      <c r="A37" s="4">
        <v>52</v>
      </c>
      <c r="B37" s="4">
        <v>2026</v>
      </c>
      <c r="C37" s="5" t="str">
        <f t="shared" si="0"/>
        <v>52-2026</v>
      </c>
      <c r="D37" s="4" t="s">
        <v>940</v>
      </c>
      <c r="E37" s="4" t="s">
        <v>889</v>
      </c>
      <c r="F37" s="3" t="s">
        <v>915</v>
      </c>
      <c r="G37" s="3" t="s">
        <v>877</v>
      </c>
    </row>
  </sheetData>
  <pageMargins left="0.75" right="0.75" top="1" bottom="1" header="0.5" footer="0.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GeometryCache xmlns="http://schemas.esri.com/review/1.0" id="cache">31,139,8,0,0,0,0,0,0,3,203,43,205,201,1,0,79,252,203,37,4,0,0,0</GeometryCache>
</file>

<file path=customXml/itemProps1.xml><?xml version="1.0" encoding="utf-8"?>
<ds:datastoreItem xmlns:ds="http://schemas.openxmlformats.org/officeDocument/2006/customXml" ds:itemID="{ADDDAECE-5EA0-4051-86F3-0B57C126BC49}"/>
</file>

<file path=customXml/itemProps2.xml><?xml version="1.0" encoding="utf-8"?>
<ds:datastoreItem xmlns:ds="http://schemas.openxmlformats.org/officeDocument/2006/customXml" ds:itemID="{40F3D427-5BDE-47CB-9FED-B3E563193BA5}"/>
</file>

<file path=docMetadata/LabelInfo.xml><?xml version="1.0" encoding="utf-8"?>
<clbl:labelList xmlns:clbl="http://schemas.microsoft.com/office/2020/mipLabelMetadata">
  <clbl:label id="{08c64559-49c6-47cf-865f-da0233616f0f}" enabled="1" method="Standard" siteId="{66f9ab85-de1a-40d4-b7bb-21565ad57cce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ROJAS ALVAREZ JUAN PABLO</dc:creator>
  <cp:keywords/>
  <dc:description/>
  <cp:lastModifiedBy/>
  <cp:revision/>
  <dcterms:created xsi:type="dcterms:W3CDTF">2025-11-10T16:55:25Z</dcterms:created>
  <dcterms:modified xsi:type="dcterms:W3CDTF">2026-07-29T21:01:32Z</dcterms:modified>
  <cp:category/>
  <cp:contentStatus/>
</cp:coreProperties>
</file>