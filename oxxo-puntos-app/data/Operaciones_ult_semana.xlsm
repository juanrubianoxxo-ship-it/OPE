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00000000-0000-0000-0000-0000000000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5431190\Downloads\oxxo-puntos-app\data\"/>
    </mc:Choice>
  </mc:AlternateContent>
  <xr:revisionPtr revIDLastSave="0" documentId="13_ncr:1_{4708FF96-3A31-446D-98F0-0959173E3247}" xr6:coauthVersionLast="47" xr6:coauthVersionMax="47" xr10:uidLastSave="{00000000-0000-0000-0000-000000000000}"/>
  <bookViews>
    <workbookView xWindow="-110" yWindow="-110" windowWidth="19420" windowHeight="11500" xr2:uid="{1B7F6A43-E552-48EB-845D-F16C083DE54D}"/>
  </bookViews>
  <sheets>
    <sheet name="Visitas_Operaciones" sheetId="2" r:id="rId1"/>
    <sheet name="Hoja4" sheetId="17" r:id="rId2"/>
    <sheet name="JEFE DE OPERACIONES" sheetId="18" r:id="rId3"/>
    <sheet name="Resumen operaciones" sheetId="16" r:id="rId4"/>
    <sheet name="Efectivos" sheetId="12" r:id="rId5"/>
    <sheet name="Metas_Generales" sheetId="9" state="hidden" r:id="rId6"/>
    <sheet name="Hoja1" sheetId="8" state="hidden" r:id="rId7"/>
    <sheet name="Visitas" sheetId="6" r:id="rId8"/>
    <sheet name="Cumplimiento Visitas" sheetId="14" r:id="rId9"/>
    <sheet name="Cumplimiento Efectivos" sheetId="15" r:id="rId10"/>
    <sheet name="Hoja2" sheetId="13" state="hidden" r:id="rId11"/>
    <sheet name="Festivos Colombia 2025-2026" sheetId="5" state="hidden" r:id="rId12"/>
  </sheets>
  <definedNames>
    <definedName name="_xlnm._FilterDatabase" localSheetId="4" hidden="1">Efectivos!$A$1:$G$19</definedName>
    <definedName name="_xlnm._FilterDatabase" localSheetId="1" hidden="1">Hoja4!$A$22:$B$37</definedName>
    <definedName name="_xlnm._FilterDatabase" localSheetId="3" hidden="1">'Resumen operaciones'!$A$1:$C$15</definedName>
    <definedName name="_xlnm._FilterDatabase" localSheetId="7" hidden="1">Visitas!$A$1:$F$19</definedName>
    <definedName name="_xlnm._FilterDatabase" localSheetId="0" hidden="1">Visitas_Operaciones!$A$1:$Y$34</definedName>
    <definedName name="_xleta.AND" hidden="1" xlm="1">#NAME?</definedName>
    <definedName name="_xleta.MONTH" hidden="1" xlm="1">#NAME?</definedName>
    <definedName name="_xleta.SUM" hidden="1" xlm="1">#NAME?</definedName>
  </definedNames>
  <calcPr calcId="191028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16" l="1"/>
  <c r="A18" i="16" a="1"/>
  <c r="V3" i="2"/>
  <c r="W3" i="2"/>
  <c r="X3" i="2"/>
  <c r="Y3" i="2"/>
  <c r="V4" i="2"/>
  <c r="W4" i="2"/>
  <c r="X4" i="2"/>
  <c r="V5" i="2"/>
  <c r="W5" i="2"/>
  <c r="X5" i="2"/>
  <c r="Y5" i="2"/>
  <c r="V6" i="2"/>
  <c r="W6" i="2"/>
  <c r="X6" i="2"/>
  <c r="V7" i="2"/>
  <c r="W7" i="2"/>
  <c r="X7" i="2"/>
  <c r="V8" i="2"/>
  <c r="W8" i="2"/>
  <c r="X8" i="2"/>
  <c r="Y8" i="2" s="1"/>
  <c r="V9" i="2"/>
  <c r="W9" i="2"/>
  <c r="X9" i="2"/>
  <c r="V10" i="2"/>
  <c r="W10" i="2"/>
  <c r="X10" i="2"/>
  <c r="V11" i="2"/>
  <c r="W11" i="2"/>
  <c r="X11" i="2"/>
  <c r="V12" i="2"/>
  <c r="W12" i="2"/>
  <c r="X12" i="2"/>
  <c r="V13" i="2"/>
  <c r="W13" i="2"/>
  <c r="X13" i="2"/>
  <c r="Y13" i="2" s="1"/>
  <c r="V14" i="2"/>
  <c r="W14" i="2"/>
  <c r="X14" i="2"/>
  <c r="Y14" i="2" s="1"/>
  <c r="V15" i="2"/>
  <c r="W15" i="2"/>
  <c r="X15" i="2"/>
  <c r="V16" i="2"/>
  <c r="W16" i="2"/>
  <c r="X16" i="2"/>
  <c r="V17" i="2"/>
  <c r="W17" i="2"/>
  <c r="X17" i="2"/>
  <c r="Y17" i="2" s="1"/>
  <c r="V18" i="2"/>
  <c r="W18" i="2"/>
  <c r="X18" i="2"/>
  <c r="Y18" i="2" s="1"/>
  <c r="V19" i="2"/>
  <c r="W19" i="2"/>
  <c r="X19" i="2"/>
  <c r="Y19" i="2" s="1"/>
  <c r="V20" i="2"/>
  <c r="W20" i="2"/>
  <c r="X20" i="2"/>
  <c r="Y20" i="2" s="1"/>
  <c r="V21" i="2"/>
  <c r="W21" i="2"/>
  <c r="X21" i="2"/>
  <c r="Y21" i="2" s="1"/>
  <c r="V22" i="2"/>
  <c r="W22" i="2"/>
  <c r="X22" i="2"/>
  <c r="Y22" i="2" s="1"/>
  <c r="V23" i="2"/>
  <c r="W23" i="2"/>
  <c r="X23" i="2"/>
  <c r="V24" i="2"/>
  <c r="W24" i="2"/>
  <c r="X24" i="2"/>
  <c r="Y24" i="2" s="1"/>
  <c r="V25" i="2"/>
  <c r="W25" i="2"/>
  <c r="X25" i="2"/>
  <c r="Y25" i="2" s="1"/>
  <c r="V26" i="2"/>
  <c r="W26" i="2"/>
  <c r="X26" i="2"/>
  <c r="Y26" i="2" s="1"/>
  <c r="V27" i="2"/>
  <c r="W27" i="2"/>
  <c r="X27" i="2"/>
  <c r="Y27" i="2" s="1"/>
  <c r="V28" i="2"/>
  <c r="W28" i="2"/>
  <c r="X28" i="2"/>
  <c r="Y28" i="2" s="1"/>
  <c r="V29" i="2"/>
  <c r="W29" i="2"/>
  <c r="X29" i="2"/>
  <c r="Y29" i="2" s="1"/>
  <c r="V30" i="2"/>
  <c r="W30" i="2"/>
  <c r="X30" i="2"/>
  <c r="V31" i="2"/>
  <c r="W31" i="2"/>
  <c r="X31" i="2"/>
  <c r="Y31" i="2" s="1"/>
  <c r="V32" i="2"/>
  <c r="W32" i="2"/>
  <c r="X32" i="2"/>
  <c r="V33" i="2"/>
  <c r="W33" i="2"/>
  <c r="X33" i="2"/>
  <c r="V34" i="2"/>
  <c r="W34" i="2"/>
  <c r="X34" i="2"/>
  <c r="X2" i="2"/>
  <c r="W2" i="2"/>
  <c r="V2" i="2"/>
  <c r="E5" i="15"/>
  <c r="B5" i="14"/>
  <c r="C5" i="14" s="1"/>
  <c r="J19" i="6"/>
  <c r="I20" i="12"/>
  <c r="B4" i="14"/>
  <c r="B3" i="14"/>
  <c r="B2" i="14"/>
  <c r="H20" i="12"/>
  <c r="G20" i="12"/>
  <c r="F20" i="12"/>
  <c r="E20" i="12"/>
  <c r="A2" i="12" a="1"/>
  <c r="E19" i="6"/>
  <c r="E17" i="6"/>
  <c r="E13" i="6"/>
  <c r="E11" i="6"/>
  <c r="E9" i="6"/>
  <c r="V4" i="8" a="1"/>
  <c r="V3" i="8" a="1"/>
  <c r="V2" i="8" a="1"/>
  <c r="V1" i="8" a="1"/>
  <c r="A2" i="6" a="1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" i="15"/>
  <c r="E3" i="15" s="1"/>
  <c r="C2" i="15"/>
  <c r="E2" i="15" s="1"/>
  <c r="C2" i="14"/>
  <c r="C3" i="14"/>
  <c r="C4" i="14"/>
  <c r="E4" i="15"/>
  <c r="Y32" i="2" l="1"/>
  <c r="Y6" i="2"/>
  <c r="Y9" i="2"/>
  <c r="Y10" i="2"/>
  <c r="Y11" i="2"/>
  <c r="Y15" i="2"/>
  <c r="Y16" i="2"/>
  <c r="Y34" i="2"/>
  <c r="Y4" i="2"/>
  <c r="Y2" i="2"/>
  <c r="Y30" i="2"/>
  <c r="Y33" i="2"/>
  <c r="Y12" i="2"/>
  <c r="Y7" i="2"/>
  <c r="Y23" i="2"/>
  <c r="G8" i="6"/>
  <c r="I7" i="6"/>
  <c r="I15" i="6"/>
  <c r="I8" i="6"/>
  <c r="H8" i="6"/>
  <c r="G7" i="6"/>
  <c r="H4" i="6"/>
  <c r="G15" i="6"/>
  <c r="H7" i="6"/>
  <c r="H15" i="6"/>
  <c r="I4" i="6"/>
  <c r="G12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G4" i="6"/>
  <c r="I12" i="6"/>
  <c r="H12" i="6"/>
  <c r="D2" i="14"/>
  <c r="F2" i="14" s="1"/>
  <c r="H10" i="6"/>
  <c r="D4" i="14"/>
  <c r="F4" i="14" s="1"/>
  <c r="I10" i="6"/>
  <c r="D3" i="14"/>
  <c r="F3" i="14" s="1"/>
  <c r="G10" i="6"/>
  <c r="I14" i="6"/>
  <c r="H14" i="6"/>
  <c r="G14" i="6"/>
  <c r="G17" i="6"/>
  <c r="I17" i="6"/>
  <c r="H17" i="6"/>
  <c r="G9" i="6"/>
  <c r="I9" i="6"/>
  <c r="H9" i="6"/>
  <c r="H13" i="6"/>
  <c r="G13" i="6"/>
  <c r="I13" i="6"/>
  <c r="H11" i="6"/>
  <c r="I11" i="6"/>
  <c r="G11" i="6"/>
  <c r="H19" i="6"/>
  <c r="G19" i="6"/>
  <c r="I19" i="6"/>
  <c r="G3" i="6"/>
  <c r="H3" i="6"/>
  <c r="I3" i="6"/>
  <c r="H18" i="6"/>
  <c r="G18" i="6"/>
  <c r="I18" i="6"/>
  <c r="H16" i="6"/>
  <c r="I16" i="6"/>
  <c r="G16" i="6"/>
  <c r="G5" i="6"/>
  <c r="I5" i="6"/>
  <c r="H5" i="6"/>
  <c r="H6" i="6"/>
  <c r="I6" i="6"/>
  <c r="G6" i="6"/>
  <c r="E4" i="14"/>
  <c r="D4" i="15"/>
  <c r="E2" i="14" l="1"/>
  <c r="E3" i="14"/>
  <c r="D2" i="15"/>
  <c r="J20" i="6"/>
  <c r="D3" i="15"/>
  <c r="E5" i="14"/>
  <c r="D5" i="14"/>
  <c r="F5" i="14" s="1"/>
  <c r="D5" i="15"/>
  <c r="I2" i="6"/>
  <c r="I20" i="6" s="1"/>
  <c r="G2" i="6"/>
  <c r="G20" i="6" s="1"/>
  <c r="H2" i="6"/>
  <c r="H20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E1A4EC-7475-4AB3-8AA2-B999C464E16A}" keepAlive="1" name="Consulta - Expansion_2026-01-26-07 20" description="Conexión a la consulta 'Expansion_2026-01-26-07 20' en el libro." type="5" refreshedVersion="0" background="1" saveData="1">
    <dbPr connection="Provider=Microsoft.Mashup.OleDb.1;Data Source=$Workbook$;Location=&quot;Expansion_2026-01-26-07 20&quot;;Extended Properties=&quot;&quot;" command="SELECT * FROM [Expansion_2026-01-26-07 20]"/>
  </connection>
  <connection id="2" xr16:uid="{61BFA73B-25F3-4380-91D4-D666826F64B8}" keepAlive="1" name="Consulta - Expansion_2026-01-27-07 20" description="Conexión a la consulta 'Expansion_2026-01-27-07 20' en el libro." type="5" refreshedVersion="0" background="1" saveData="1">
    <dbPr connection="Provider=Microsoft.Mashup.OleDb.1;Data Source=$Workbook$;Location=&quot;Expansion_2026-01-27-07 20&quot;;Extended Properties=&quot;&quot;" command="SELECT * FROM [Expansion_2026-01-27-07 20]"/>
  </connection>
  <connection id="3" xr16:uid="{86398B3A-6082-4CE0-8863-6AD897CDBBB1}" keepAlive="1" name="Consulta - in" description="Conexión a la consulta 'in' en el libro." type="5" refreshedVersion="0" background="1">
    <dbPr connection="Provider=Microsoft.Mashup.OleDb.1;Data Source=$Workbook$;Location=in;Extended Properties=&quot;&quot;" command="SELECT * FROM [in]"/>
  </connection>
  <connection id="4" xr16:uid="{A7F2FACA-EDD9-469F-A7E6-EEDF39A7CD74}" keepAlive="1" name="Consulta - in (2)" description="Conexión a la consulta 'in (2)' en el libro." type="5" refreshedVersion="0" background="1" saveData="1">
    <dbPr connection="Provider=Microsoft.Mashup.OleDb.1;Data Source=$Workbook$;Location=&quot;in (2)&quot;;Extended Properties=&quot;&quot;" command="SELECT * FROM [in (2)]"/>
  </connection>
  <connection id="5" xr16:uid="{11850D83-2A86-4F01-B916-BD41C32897FC}" keepAlive="1" name="Consulta - in (3)" description="Conexión a la consulta 'in (3)' en el libro." type="5" refreshedVersion="8" background="1" saveData="1">
    <dbPr connection="Provider=Microsoft.Mashup.OleDb.1;Data Source=$Workbook$;Location=&quot;in (3)&quot;;Extended Properties=&quot;&quot;" command="SELECT * FROM [in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<sst xmlns="http://schemas.openxmlformats.org/spreadsheetml/2006/main" count="1045" uniqueCount="446">
  <si>
    <t>ID</t>
  </si>
  <si>
    <t>Jefe de zona</t>
  </si>
  <si>
    <t>Correo</t>
  </si>
  <si>
    <t>Fecha de inicio</t>
  </si>
  <si>
    <t>Fecha de envío</t>
  </si>
  <si>
    <t>Hora</t>
  </si>
  <si>
    <t>Año</t>
  </si>
  <si>
    <t>Mes</t>
  </si>
  <si>
    <t>Estado</t>
  </si>
  <si>
    <t xml:space="preserve">Nombre del Punto </t>
  </si>
  <si>
    <t>Cambio de nombre (Si Aplica)</t>
  </si>
  <si>
    <t>Región</t>
  </si>
  <si>
    <t>Plaza</t>
  </si>
  <si>
    <t>Dirección</t>
  </si>
  <si>
    <t>Enlace de la ubicación en Google Maps</t>
  </si>
  <si>
    <t>Segmento de tienda aproximado</t>
  </si>
  <si>
    <t>Tienda de local</t>
  </si>
  <si>
    <t>Principal característica de la ubicación</t>
  </si>
  <si>
    <t>Contacto del Propietario (Teléfono)</t>
  </si>
  <si>
    <t>Contacto del Propietario (Correo Electronico)</t>
  </si>
  <si>
    <t>Fotos del Local Revisado</t>
  </si>
  <si>
    <t>Semana del mes</t>
  </si>
  <si>
    <t>Sem-Año</t>
  </si>
  <si>
    <t>Estado Growth</t>
  </si>
  <si>
    <t>Comentarios</t>
  </si>
  <si>
    <t>Juan Rojas</t>
  </si>
  <si>
    <t>juanp.rojas@oxxo.com</t>
  </si>
  <si>
    <t>14/07/2026</t>
  </si>
  <si>
    <t>07:43</t>
  </si>
  <si>
    <t>07</t>
  </si>
  <si>
    <t>Enviado</t>
  </si>
  <si>
    <t>Prueba 1</t>
  </si>
  <si>
    <t>Centro</t>
  </si>
  <si>
    <t>Bogotá</t>
  </si>
  <si>
    <t>Cualquier cosa</t>
  </si>
  <si>
    <t>Bsbsjaha</t>
  </si>
  <si>
    <t>Base</t>
  </si>
  <si>
    <t>Esquinero</t>
  </si>
  <si>
    <t>Zona Comercial</t>
  </si>
  <si>
    <t>Hshshs</t>
  </si>
  <si>
    <t>Hahshs</t>
  </si>
  <si>
    <t>Foto: https://oxxo-colombia.oneapp.cl/static/img/Respuesta/62602229/6d8ffd2e8c6478e019c6e6f2f184cd89.jpg</t>
  </si>
  <si>
    <t>N/A</t>
  </si>
  <si>
    <t>SANDRA PADILLA</t>
  </si>
  <si>
    <t>sandra.padilla@oxxo.com</t>
  </si>
  <si>
    <t>08:19</t>
  </si>
  <si>
    <t>Centro comercial cañaveral</t>
  </si>
  <si>
    <t>Nororiente</t>
  </si>
  <si>
    <t>Oriente</t>
  </si>
  <si>
    <t>Calle 30 # 30-04 centro comercial cañaveral</t>
  </si>
  <si>
    <t>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</t>
  </si>
  <si>
    <t>Es local ubicado en centro comercial cañaveral. Esquinero está diagonal a Juan Valdez. 
Debe ser inmobiliaria pero no aparece nombre solo teléfono para llamar
3007751069</t>
  </si>
  <si>
    <t>Foto: https://oxxo-colombia.oneapp.cl/static/img/Respuesta/62607815/d9df2c1a2055b05c09ecf99840d4672a.jpg</t>
  </si>
  <si>
    <t>Subido</t>
  </si>
  <si>
    <t>08:31</t>
  </si>
  <si>
    <t>Cra 8#17-25</t>
  </si>
  <si>
    <t>https://maps.app.goo.gl/sQCBBmYmfUFgSJJw5?g_st=ic</t>
  </si>
  <si>
    <t>Zona Administrativa</t>
  </si>
  <si>
    <t>Jajahdy</t>
  </si>
  <si>
    <t>Foto: https://oxxo-colombia.oneapp.cl/static/img/Respuesta/62607707/a67a6d94f2caa7f4eddd443c3d853b30.jpg</t>
  </si>
  <si>
    <t>JOHN ALEJANDRO ALZATE ALZATE</t>
  </si>
  <si>
    <t>john.alzate@oxxo.com</t>
  </si>
  <si>
    <t>Prueba alejando alzate</t>
  </si>
  <si>
    <t>Occidente</t>
  </si>
  <si>
    <t>Eje Cafetero</t>
  </si>
  <si>
    <t>Calle 10 10 01</t>
  </si>
  <si>
    <t>https://maps.app.goo.gl/zs9eYrx3BXeghThK7?g_st=ac</t>
  </si>
  <si>
    <t xml:space="preserve">Receso </t>
  </si>
  <si>
    <t>Zona Residencial</t>
  </si>
  <si>
    <t>Prueba</t>
  </si>
  <si>
    <t>Foto: https://oxxo-colombia.oneapp.cl/static/img/Respuesta/62607776/1bbc7e3ecea7bb71752ba7f613178b51.jpg
Foto: https://oxxo-colombia.oneapp.cl/static/img/Respuesta/62607776/d01736f34cf7d2fbf49c953d76e353f2.jpg</t>
  </si>
  <si>
    <t>KATERIN  DIAZ ZORRO</t>
  </si>
  <si>
    <t>katerin.diaz@oxxo.com</t>
  </si>
  <si>
    <t>08:50</t>
  </si>
  <si>
    <t>Autopista 159</t>
  </si>
  <si>
    <t>Calle 159a 22 76</t>
  </si>
  <si>
    <t>https://maps.app.goo.gl/ARHY4pjoMEGefriy5?g_st=iw</t>
  </si>
  <si>
    <t>Nimguno</t>
  </si>
  <si>
    <t>Foto: https://oxxo-colombia.oneapp.cl/static/img/Respuesta/62609012/0c78ccadb1951931f9f9e598456c2f02.jpg</t>
  </si>
  <si>
    <t>09:25</t>
  </si>
  <si>
    <t>Parque Toberin</t>
  </si>
  <si>
    <t>Cra 21 168</t>
  </si>
  <si>
    <t>https://maps.app.goo.gl/RdznzFN8oeXt4BzY8?g_st=iw</t>
  </si>
  <si>
    <t>Ninguno</t>
  </si>
  <si>
    <t>Foto: https://oxxo-colombia.oneapp.cl/static/img/Respuesta/62611190/aab0753a5550540c761da14167e590bd.jpg</t>
  </si>
  <si>
    <t>JAIRO HERNANDEZ</t>
  </si>
  <si>
    <t>jairo.hernandez@oxxo.com</t>
  </si>
  <si>
    <t>15:19</t>
  </si>
  <si>
    <t>Oxxo Bolivar Desnudo</t>
  </si>
  <si>
    <t>Calle 19 carrera 7 esquina</t>
  </si>
  <si>
    <t>https://maps.app.goo.gl/cyi7f3fML7fKbAXTA</t>
  </si>
  <si>
    <t>Juan Esteban Arbelaez
3218303155</t>
  </si>
  <si>
    <t>Luvikasu@hotmail.com</t>
  </si>
  <si>
    <t>Foto: https://oxxo-colombia.oneapp.cl/static/img/Respuesta/62624413/20c771fc6c9288613883161d80b62535.jpg</t>
  </si>
  <si>
    <t>16:17</t>
  </si>
  <si>
    <t>Oxxo Los Rosales</t>
  </si>
  <si>
    <t>Carrera 9 24- 62</t>
  </si>
  <si>
    <t>https://maps.app.goo.gl/QBWShgaJxsi6X6WG7</t>
  </si>
  <si>
    <t>Medianero</t>
  </si>
  <si>
    <t>Hospitales/ Clinícas</t>
  </si>
  <si>
    <t>Guillermo Palacios
3146815905
3122875409</t>
  </si>
  <si>
    <t>memito-palacio@hotmail.com</t>
  </si>
  <si>
    <t>Foto: https://oxxo-colombia.oneapp.cl/static/img/Respuesta/62625891/bbb75d22f5b9542c336c0758cfe8f50d.jpg
Foto: https://oxxo-colombia.oneapp.cl/static/img/Respuesta/62625891/cbd83bdd35ee059afb5e2b8722d2af3d.jpg
Foto: https://oxxo-colombia.oneapp.cl/static/img/Respuesta/62625891/6470f7a24b27c5fd93574a90681e8724.jpg</t>
  </si>
  <si>
    <t>Alejandro Gomez</t>
  </si>
  <si>
    <t>alejandror.gomez@oxxo.com</t>
  </si>
  <si>
    <t>16:33</t>
  </si>
  <si>
    <t>Oxxo cra 13</t>
  </si>
  <si>
    <t>Cra 13 no 11-09</t>
  </si>
  <si>
    <t>https://maps.app.goo.gl/ZQgrkgw8KHzSeLA8A?g_st=iw</t>
  </si>
  <si>
    <t>6063344240
@rentamoviliaria</t>
  </si>
  <si>
    <t>Foto: https://oxxo-colombia.oneapp.cl/static/img/Respuesta/62626454/87ed3b5f570cab3e0b3ed0ece0ec96c9.jpg
Foto: https://oxxo-colombia.oneapp.cl/static/img/Respuesta/62626454/bf2a2bd00c8f33ddaa547727910a5c6c.jpg
Foto: https://oxxo-colombia.oneapp.cl/static/img/Respuesta/62626454/21896d185fd26b3fe0f7f9d473c56cf4.jpg</t>
  </si>
  <si>
    <t>CRISTIAN ESTUPIÃAN</t>
  </si>
  <si>
    <t>cristian.romero@oxxo.com</t>
  </si>
  <si>
    <t>17:11</t>
  </si>
  <si>
    <t>Parque industrial kuma</t>
  </si>
  <si>
    <t>Centro Norte</t>
  </si>
  <si>
    <t>Km 4 via Zipaquirá Bogotá después de el puente de ingreso a Zipaquirá variante Zipaquirá Ubaté vía nacional</t>
  </si>
  <si>
    <t>https://maps.app.goo.gl/a95PSeawc8zDeAyD7</t>
  </si>
  <si>
    <t>Zona Industrial</t>
  </si>
  <si>
    <t>Sin datos de propietario</t>
  </si>
  <si>
    <t>Foto: https://oxxo-colombia.oneapp.cl/static/img/Respuesta/62627287/c1e0834f4cd9b5d4ab1a925f0204f551.jpg
Foto: https://oxxo-colombia.oneapp.cl/static/img/Respuesta/62627287/e677cf39589abe072208cad82b930fa3.jpg
Foto: https://oxxo-colombia.oneapp.cl/static/img/Respuesta/62627287/45ddda7fb96609d51eb557871f1cf18f.jpg</t>
  </si>
  <si>
    <t xml:space="preserve">Daniela  Menasse </t>
  </si>
  <si>
    <t>daniela.menasse@oxxo.com</t>
  </si>
  <si>
    <t>15/07/2026</t>
  </si>
  <si>
    <t>08:30</t>
  </si>
  <si>
    <t>Santo Tomás</t>
  </si>
  <si>
    <t>Rubio 53</t>
  </si>
  <si>
    <t>Carrera 13#52-30 esquina</t>
  </si>
  <si>
    <t>https://maps.app.goo.gl/ZgYr7gZUWwWBfsNb6?g_st=ic</t>
  </si>
  <si>
    <t>No tengo</t>
  </si>
  <si>
    <t>Foto: https://oxxo-colombia.oneapp.cl/static/img/Respuesta/62673636/9c5c324d38e1b8d01a037616b3a8b20d.jpg</t>
  </si>
  <si>
    <t>08:34</t>
  </si>
  <si>
    <t>Parque Santa Bárbara</t>
  </si>
  <si>
    <t>Parque Santa Barbara 122</t>
  </si>
  <si>
    <t>Calle 122#18b-07</t>
  </si>
  <si>
    <t>https://maps.app.goo.gl/roHspvGqX4kLWBoAA?g_st=ic</t>
  </si>
  <si>
    <t>Foto: https://oxxo-colombia.oneapp.cl/static/img/Respuesta/62673905/121c03b3a3e9f205107fe002e8fb6043.jpg</t>
  </si>
  <si>
    <t>08:39</t>
  </si>
  <si>
    <t>Av cra 15?</t>
  </si>
  <si>
    <t xml:space="preserve">Carrera 15 </t>
  </si>
  <si>
    <t>Av 15#118-93</t>
  </si>
  <si>
    <t>https://maps.app.goo.gl/2TZH47f4N86NTjSb6?g_st=ic</t>
  </si>
  <si>
    <t>Anterior Banco caja social</t>
  </si>
  <si>
    <t>Foto: https://oxxo-colombia.oneapp.cl/static/img/Respuesta/62674064/875b2ce52d5c7099e6bb984754d0bfe0.jpg</t>
  </si>
  <si>
    <t>Brayan Ortiz</t>
  </si>
  <si>
    <t>brayan.ortiz@oxxo.com</t>
  </si>
  <si>
    <t>09:22</t>
  </si>
  <si>
    <t>Tunjuelito</t>
  </si>
  <si>
    <t>Cra 12b 52 80 sur</t>
  </si>
  <si>
    <t>https://maps.app.goo.gl/uNEnpfgoDAbeptMD7?g_st=ac</t>
  </si>
  <si>
    <t>Hogar</t>
  </si>
  <si>
    <t>w-becerra@hotmail.com</t>
  </si>
  <si>
    <t>Foto: https://oxxo-colombia.oneapp.cl/static/img/Respuesta/62676593/dc0a0774e1cab78bbb958e0b0f01d8b0.jpg
Foto: https://oxxo-colombia.oneapp.cl/static/img/Respuesta/62676593/31fff14c952201a70962b982e5d5b3c2.jpg</t>
  </si>
  <si>
    <t>09:42</t>
  </si>
  <si>
    <t>Le grand</t>
  </si>
  <si>
    <t>Av 116#15-2</t>
  </si>
  <si>
    <t>https://maps.app.goo.gl/37dHFgR4RCV1TvPe8?g_st=ic</t>
  </si>
  <si>
    <t>3142182464
3164705512</t>
  </si>
  <si>
    <t>Foto: https://oxxo-colombia.oneapp.cl/static/img/Respuesta/62677931/f8c06c7abb8003e063af29295ee75181.jpg</t>
  </si>
  <si>
    <t>09:48</t>
  </si>
  <si>
    <t>Pepe av 116</t>
  </si>
  <si>
    <t>Av 116 16-78</t>
  </si>
  <si>
    <t>https://maps.app.goo.gl/FbPpk8UWb766FAqY8?g_st=ic</t>
  </si>
  <si>
    <t>Hay 3 locales desocupados 
2 pegados para que de el área y otro 102 m2</t>
  </si>
  <si>
    <t>Foto: https://oxxo-colombia.oneapp.cl/static/img/Respuesta/62678392/15e782c8af7c8926b7b1e25733587063.jpg</t>
  </si>
  <si>
    <t>Diana Marcela Arevalo Gonzalez</t>
  </si>
  <si>
    <t>diana.arevalo@oxxo.com</t>
  </si>
  <si>
    <t>10:38</t>
  </si>
  <si>
    <t>Fusa Sutagao</t>
  </si>
  <si>
    <t xml:space="preserve">Centro Sur </t>
  </si>
  <si>
    <t>EDS Primax - Antigua Panamericana, Arbeláez-Fusagasuga, Fusagasugá, Cundinamarca</t>
  </si>
  <si>
    <t>https://goo.gl/maps/hD1QaqZei8hNKnUy5?g_st=aw</t>
  </si>
  <si>
    <t>Tractorepuestos AL</t>
  </si>
  <si>
    <t>Foto: https://oxxo-colombia.oneapp.cl/static/img/Respuesta/62681026/8324fe22a24dc58b2ad66c11d110f312.jpg
Foto: https://oxxo-colombia.oneapp.cl/static/img/Respuesta/62681026/4fd8b0bcf809f89e1a0941f38c8a9fbf.jpg
Foto: https://oxxo-colombia.oneapp.cl/static/img/Respuesta/62681026/1ad08db0e95687318e1159f636316174.jpg</t>
  </si>
  <si>
    <t>vicky Duque</t>
  </si>
  <si>
    <t>vicky.duque@oxxo.com</t>
  </si>
  <si>
    <t>12:13</t>
  </si>
  <si>
    <t>Posible OXXO 52 con 13 Frente al Éxito de la 51, antes había un tren Presto, excelente ubicación, se adjuntan fotos</t>
  </si>
  <si>
    <t>Carrera 13# 52-22</t>
  </si>
  <si>
    <t>https://maps.app.goo.gl/9rC2X5676JGMq3sp8?g_st=iw</t>
  </si>
  <si>
    <t>Área 182 mt2 sin correo</t>
  </si>
  <si>
    <t>Foto: https://oxxo-colombia.oneapp.cl/static/img/Respuesta/62686014/6dbd8fb9080d7688ce8cb71cea56b527.jpg
Foto: https://oxxo-colombia.oneapp.cl/static/img/Respuesta/62686014/f046b830ba2bdbd6b3408180fb13cd5f.jpg
Foto: https://oxxo-colombia.oneapp.cl/static/img/Respuesta/62686014/c98baeb58a0a870fc200af528455ed55.jpg
Foto: https://oxxo-colombia.oneapp.cl/static/img/Respuesta/62686014/0000eb81142e4097eec73c005b21e8bf.jpg</t>
  </si>
  <si>
    <t>No subido</t>
  </si>
  <si>
    <t>No se sube a Growth debido a que está repetido, un jefe de zona lo subió primero ( Rubio 53)</t>
  </si>
  <si>
    <t>CHRISTIAN CAMILO RODRIGUEZ</t>
  </si>
  <si>
    <t>christian.rodriguezmarin@oxxo.com</t>
  </si>
  <si>
    <t>12:22</t>
  </si>
  <si>
    <t>Centro comercial el portico</t>
  </si>
  <si>
    <t>Centro comercial el pórtico Facatativá</t>
  </si>
  <si>
    <t>https://maps.app.goo.gl/XKjbjeAS9omZeFTB7?g_st=iw</t>
  </si>
  <si>
    <t>No</t>
  </si>
  <si>
    <t>Foto: https://oxxo-colombia.oneapp.cl/static/img/Respuesta/62686443/a90e81c94dc88f1e8890866ca6ead133.jpg</t>
  </si>
  <si>
    <t>13:21</t>
  </si>
  <si>
    <t>Chapinero facatativa</t>
  </si>
  <si>
    <t>Hospital San Rafael</t>
  </si>
  <si>
    <t>Calle 1 #3-97</t>
  </si>
  <si>
    <t>https://maps.app.goo.gl/PhzXtYjgkKMemPb39?g_st=iw</t>
  </si>
  <si>
    <t>Foto: https://oxxo-colombia.oneapp.cl/static/img/Respuesta/62688562/e438735fb01f082ec211b3a4bb95d339.jpg
Foto: https://oxxo-colombia.oneapp.cl/static/img/Respuesta/62688562/423a495b6a6da53a709410b462229ac6.jpg</t>
  </si>
  <si>
    <t>Danny Bermeo</t>
  </si>
  <si>
    <t>danny.perdomo@oxxo.com</t>
  </si>
  <si>
    <t>13:37</t>
  </si>
  <si>
    <t>Pasaje 10.60 Outlet américas</t>
  </si>
  <si>
    <t>Cra 60 # 10_ 44 local 105</t>
  </si>
  <si>
    <t>https://maps.app.goo.gl/qaYbvGnqLY1HZztv8</t>
  </si>
  <si>
    <t>3114539386  fabian</t>
  </si>
  <si>
    <t>N.a</t>
  </si>
  <si>
    <t>Foto: https://oxxo-colombia.oneapp.cl/static/img/Respuesta/62688965/d995c3e0c3286247533d8d39dc637eb1.jpg
Foto: https://oxxo-colombia.oneapp.cl/static/img/Respuesta/62688965/9f99eecdf30980371467b2cb45efccea.jpg
Foto: https://oxxo-colombia.oneapp.cl/static/img/Respuesta/62688965/00ef89b64178265da08e02c453365960.jpg
Foto: https://oxxo-colombia.oneapp.cl/static/img/Respuesta/62688965/7167395391292a520b84b0074511333f.jpg</t>
  </si>
  <si>
    <t>13:43</t>
  </si>
  <si>
    <t>Montecarlo facatativa</t>
  </si>
  <si>
    <t>Calle 2#5-03</t>
  </si>
  <si>
    <t>https://maps.app.goo.gl/8ZCCS79gfk7pGP9C6?g_st=iw</t>
  </si>
  <si>
    <t>3224423373
3046271281</t>
  </si>
  <si>
    <t>Foto: https://oxxo-colombia.oneapp.cl/static/img/Respuesta/62689017/fea367e9b62dc62471c9fa962d583d9c.jpg
Foto: https://oxxo-colombia.oneapp.cl/static/img/Respuesta/62689017/5b31df4943a0eb4751ae327652f8f1f3.jpg</t>
  </si>
  <si>
    <t>19:51</t>
  </si>
  <si>
    <t>OXXO olímpica 53, sector tráfico x cadenas olípica, Farmatodo, dollarciry, vía principal sobre la Boyacá con 53, residencial y comercial</t>
  </si>
  <si>
    <t>Av calle 53 # av cr 72</t>
  </si>
  <si>
    <t>https://maps.app.goo.gl/RXJBFg5X1vNJ3zZ66?g_st=iw</t>
  </si>
  <si>
    <t>Foto: https://oxxo-colombia.oneapp.cl/static/img/Respuesta/62695036/f1bdc273dfb5e1d12c1ecef6cb3e7a2a.jpg
Foto: https://oxxo-colombia.oneapp.cl/static/img/Respuesta/62695036/1022c0589a128b7e214c0b5dff02b09d.jpg</t>
  </si>
  <si>
    <t>MASSIEL LORENA GARZON MONTES</t>
  </si>
  <si>
    <t>massiel.garzon@oxxo.com</t>
  </si>
  <si>
    <t>19:57</t>
  </si>
  <si>
    <t>Santa Beatriz</t>
  </si>
  <si>
    <t>Cra 15 n 118 93</t>
  </si>
  <si>
    <t>https://maps.app.goo.gl/xqXqLXgy7UCyB6pz9?g_st=ac</t>
  </si>
  <si>
    <t>Foto: https://oxxo-colombia.oneapp.cl/static/img/Respuesta/62695161/307ee68386c324cb589766d182d3dbf3.jpg</t>
  </si>
  <si>
    <t>Brayan Mogollón</t>
  </si>
  <si>
    <t>brayan.mogollon@oxxo.com</t>
  </si>
  <si>
    <t>21:05</t>
  </si>
  <si>
    <t>Citadinno</t>
  </si>
  <si>
    <t>Carrera 13 #33 a - 10</t>
  </si>
  <si>
    <t>https://maps.app.goo.gl/UgKek3eZnzV3KFSy6</t>
  </si>
  <si>
    <t>Foto: https://oxxo-colombia.oneapp.cl/static/img/Respuesta/62695999/d6da005f5521a4d75c851ab9adfd946d.jpg
Foto: https://oxxo-colombia.oneapp.cl/static/img/Respuesta/62695999/84cfcf75c0b9c3d3d25c32e358cd47a9.jpg
Foto: https://oxxo-colombia.oneapp.cl/static/img/Respuesta/62695999/d03028d1788909bd2c38c3e7df9282fe.jpg</t>
  </si>
  <si>
    <t>16/07/2026</t>
  </si>
  <si>
    <t>09:43</t>
  </si>
  <si>
    <t>Girardot Oasis</t>
  </si>
  <si>
    <t>Carrera 10 # 19 -87  
Centro  comercial Oasis 
Teléfono  8361574</t>
  </si>
  <si>
    <t>https://maps.app.goo.gl/4XVD4C94joAnoLQU8?g_st=aw</t>
  </si>
  <si>
    <t>Es propiedad del centro  comercial local esquinero externo sobre vía principal, la encargada de locales es la señora Maria  3113450659</t>
  </si>
  <si>
    <t>3113450659 teléfono  señora Maria</t>
  </si>
  <si>
    <t>Foto: https://oxxo-colombia.oneapp.cl/static/img/Respuesta/62739297/3a0140b4026d36ec076615208b5286e8.jpg
Foto: https://oxxo-colombia.oneapp.cl/static/img/Respuesta/62739297/00868430b481892c62f5413a5344266f.jpg
Foto: https://oxxo-colombia.oneapp.cl/static/img/Respuesta/62739297/88fdb0d20858968755ff96a142d223c8.jpg
Foto: https://oxxo-colombia.oneapp.cl/static/img/Respuesta/62739297/86a27b789dc32044bf2e7ee6f90ead3e.jpg
Foto: https://oxxo-colombia.oneapp.cl/static/img/Respuesta/62739297/823f5a2c73af364f32b5d7fe9aaa59bf.jpg
Foto: https://oxxo-colombia.oneapp.cl/static/img/Respuesta/62739297/de9afca16655d06bb597ea69835e23ec.jpg</t>
  </si>
  <si>
    <t>13:29</t>
  </si>
  <si>
    <t>Auto 161</t>
  </si>
  <si>
    <t>Cra 45 161 40</t>
  </si>
  <si>
    <t>https://maps.app.goo.gl/5bYucWhBPLEHru7D8</t>
  </si>
  <si>
    <t>Foto: https://oxxo-colombia.oneapp.cl/static/img/Respuesta/62748121/b84838d7b907b803fb8d0920d6242ab2.jpg</t>
  </si>
  <si>
    <t>13:45</t>
  </si>
  <si>
    <t>Siena apartamentos</t>
  </si>
  <si>
    <t>Dg 68 a sur #14 T 20</t>
  </si>
  <si>
    <t>https://maps.app.goo.gl/QEQfuLMTfSvDtyZS7?g_st=ac</t>
  </si>
  <si>
    <t>Foto: https://oxxo-colombia.oneapp.cl/static/img/Respuesta/62748317/3322645e671d2b25cb5eef3ae49b30cc.jpg</t>
  </si>
  <si>
    <t>15:12</t>
  </si>
  <si>
    <t>Pinares</t>
  </si>
  <si>
    <t>Calle 14, esquina de clinica san rafael y megacentro pereira</t>
  </si>
  <si>
    <t>https://maps.app.goo.gl/DsZejbLUvxEXoxAA6?g_st=awb</t>
  </si>
  <si>
    <t>No posee</t>
  </si>
  <si>
    <t>Foto: https://oxxo-colombia.oneapp.cl/static/img/Respuesta/62750692/9c75c5050e5cf978d3e249eef5cd3e90.jpg
Foto: https://oxxo-colombia.oneapp.cl/static/img/Respuesta/62750692/6faf06a410aa2c8c5c95553941512d99.jpg
Foto: https://oxxo-colombia.oneapp.cl/static/img/Respuesta/62750692/150d79d820f4eba8aec47520434195f3.jpg</t>
  </si>
  <si>
    <t>16:55</t>
  </si>
  <si>
    <t>Oxxo Monarca</t>
  </si>
  <si>
    <t>Sector las piñas cerritos, Mall Plaza Monarca</t>
  </si>
  <si>
    <t>https://maps.app.goo.gl/crfJcUJxJcrVFGAw8?g_st=awb</t>
  </si>
  <si>
    <t>Daniel Giraldo Lopez
3156981219</t>
  </si>
  <si>
    <t>dagilo94@hotmail.com</t>
  </si>
  <si>
    <t>Foto: https://oxxo-colombia.oneapp.cl/static/img/Respuesta/62752594/8b65e4ea3b50c310ca2be99f1ce2668a.jpg
Foto: https://oxxo-colombia.oneapp.cl/static/img/Respuesta/62752594/568fe042ea8c0f70a382dd7ee5ffb814.jpg
Foto: https://oxxo-colombia.oneapp.cl/static/img/Respuesta/62752594/295c31e7cef38b5e67a8a2ae606b692f.jpg</t>
  </si>
  <si>
    <t>17:29</t>
  </si>
  <si>
    <t>Capital
En ese punto había un ARA, tiene bahía de parqueo,  cerca esta una sucursal de eps sanitas, edificio capital,  torre sapiencia</t>
  </si>
  <si>
    <t>Auto Norte cra 45 N 122 36</t>
  </si>
  <si>
    <t>https://maps.app.goo.gl/M7GS1t882L9X2s5X7?g_st=ac</t>
  </si>
  <si>
    <t>3102960548
3134539405
3222535839</t>
  </si>
  <si>
    <t>Foto: https://oxxo-colombia.oneapp.cl/static/img/Respuesta/62753216/3b2b19a79c8df3a1b7b1e3a59b46ba4b.jpg</t>
  </si>
  <si>
    <t>21:40</t>
  </si>
  <si>
    <t>Pinar</t>
  </si>
  <si>
    <t>Cra 97b calle 153</t>
  </si>
  <si>
    <t>https://maps.app.goo.gl/Zs8Bp3Xwscm3Lyq39</t>
  </si>
  <si>
    <t>Foto: https://oxxo-colombia.oneapp.cl/static/img/Respuesta/62755126/4ed63ced37b89f4a0b1b1e126687e0af.jpg
Foto: https://oxxo-colombia.oneapp.cl/static/img/Respuesta/62755126/4e09e8f4390230f64598fd87a240c9f6.jpg
Foto: https://oxxo-colombia.oneapp.cl/static/img/Respuesta/62755126/06405011868606fa3061b91bf241ecf8.jpg</t>
  </si>
  <si>
    <t>Diana Victoria Bernal Puentes</t>
  </si>
  <si>
    <t>diana.bernal@oxxo.com</t>
  </si>
  <si>
    <t>19/07/2026</t>
  </si>
  <si>
    <t>11:52</t>
  </si>
  <si>
    <t>OXXO ESMERALDA</t>
  </si>
  <si>
    <t>Calle 11 Cra 11 esquina</t>
  </si>
  <si>
    <t>https://maps.app.goo.gl/xG4YUUbdmJKMJHGW8?g_st=aw</t>
  </si>
  <si>
    <t>LUis Alberto Páez</t>
  </si>
  <si>
    <t>Foto: https://oxxo-colombia.oneapp.cl/static/img/Respuesta/62915009/fc0338b1145297bcaa7fe7e1a19bac18.jpg</t>
  </si>
  <si>
    <t>(Varios elementos)</t>
  </si>
  <si>
    <t>Etiquetas de fila</t>
  </si>
  <si>
    <t xml:space="preserve">Cuenta de Nombre del Punto </t>
  </si>
  <si>
    <t>Total general</t>
  </si>
  <si>
    <t>Puntos potenciales</t>
  </si>
  <si>
    <t>Antioquia</t>
  </si>
  <si>
    <t>Yesenia Aritizabal</t>
  </si>
  <si>
    <t>Pedro</t>
  </si>
  <si>
    <t>Norte</t>
  </si>
  <si>
    <t>Juan Pablo</t>
  </si>
  <si>
    <t>Sur</t>
  </si>
  <si>
    <t>Caribe</t>
  </si>
  <si>
    <t>Diego Rodriguez</t>
  </si>
  <si>
    <t>Centro Sur</t>
  </si>
  <si>
    <t xml:space="preserve">Eje Cafetero </t>
  </si>
  <si>
    <t xml:space="preserve">Oriente </t>
  </si>
  <si>
    <t>Valle</t>
  </si>
  <si>
    <t>Meta</t>
  </si>
  <si>
    <t>29-2026</t>
  </si>
  <si>
    <t>Especialista</t>
  </si>
  <si>
    <t xml:space="preserve">Microcelula </t>
  </si>
  <si>
    <t>COD</t>
  </si>
  <si>
    <t>Activo</t>
  </si>
  <si>
    <t>Meta efectivos</t>
  </si>
  <si>
    <t>26-2026</t>
  </si>
  <si>
    <t>27-2026</t>
  </si>
  <si>
    <t>28-2026</t>
  </si>
  <si>
    <t>NO</t>
  </si>
  <si>
    <t>Esp_2</t>
  </si>
  <si>
    <t>SI</t>
  </si>
  <si>
    <t>Esp_1</t>
  </si>
  <si>
    <t>Esp_8</t>
  </si>
  <si>
    <t>Esp_4</t>
  </si>
  <si>
    <t>Esp_5</t>
  </si>
  <si>
    <t>Esp_3</t>
  </si>
  <si>
    <t>Celula 1</t>
  </si>
  <si>
    <t>Celula 2</t>
  </si>
  <si>
    <t>Esp_6</t>
  </si>
  <si>
    <t>Micro_Bog_1</t>
  </si>
  <si>
    <t>Celula 3</t>
  </si>
  <si>
    <t>NA</t>
  </si>
  <si>
    <t>Esp_7</t>
  </si>
  <si>
    <t>Ariam Cruz</t>
  </si>
  <si>
    <t>Total</t>
  </si>
  <si>
    <t>COD ESP</t>
  </si>
  <si>
    <t>GONZALEZ GOMEZ JURY CAROLINA</t>
  </si>
  <si>
    <t>Micro_Bog_2</t>
  </si>
  <si>
    <t>TORRES MARTINEZ CINDY YESENIA</t>
  </si>
  <si>
    <t>DIAZ ORTIZ LINA</t>
  </si>
  <si>
    <t>ACUNA ROJAS JENNY</t>
  </si>
  <si>
    <t>MEJIA TUTA LEIDY</t>
  </si>
  <si>
    <t>LOPEZ CANDAMIL MARTHA LILIANA</t>
  </si>
  <si>
    <t>BOLAÑOS DIAZ CARLOS</t>
  </si>
  <si>
    <t>Rojas Romero Alejandra</t>
  </si>
  <si>
    <t>Micro_Med_1</t>
  </si>
  <si>
    <t>JORGE WILLIAM GRANADOS RUIZ</t>
  </si>
  <si>
    <t>ELVIA JAIMES</t>
  </si>
  <si>
    <t>HECTOR DUQUE</t>
  </si>
  <si>
    <t>hector.duque@oxxo.com</t>
  </si>
  <si>
    <t>Unete Colombia</t>
  </si>
  <si>
    <t>Expansión</t>
  </si>
  <si>
    <t>Antena 10 - 10101</t>
  </si>
  <si>
    <t>Ocasional</t>
  </si>
  <si>
    <t>Resultados</t>
  </si>
  <si>
    <t>Provenza</t>
  </si>
  <si>
    <t>Foto</t>
  </si>
  <si>
    <t>https://maps.app.goo.gl/frLXqaF35ahohnk99?g_st=ac</t>
  </si>
  <si>
    <t>Provenza 36</t>
  </si>
  <si>
    <t>https://maps.app.goo.gl/hqfjgAbGBaspaH95A?g_st=ac</t>
  </si>
  <si>
    <t>Yilver Torrealba</t>
  </si>
  <si>
    <t>yilver.torrealba@oxxo.com</t>
  </si>
  <si>
    <t>Antena 3 - 33333</t>
  </si>
  <si>
    <t>EL JARDÍN</t>
  </si>
  <si>
    <t>https://maps.app.goo.gl/voKD1MPcMSSX6yiD7</t>
  </si>
  <si>
    <t>elvia.jaimes@oxxo.com</t>
  </si>
  <si>
    <t>Antena 9 - 99999</t>
  </si>
  <si>
    <t>CC Tunal</t>
  </si>
  <si>
    <t>https://maps.app.goo.gl/ZQ9uqt2Ag6oU7LWDA?g_st=ac</t>
  </si>
  <si>
    <t>Meta Festivo</t>
  </si>
  <si>
    <t>Meta sin Festivo</t>
  </si>
  <si>
    <t>Semana</t>
  </si>
  <si>
    <t>Festivo</t>
  </si>
  <si>
    <t xml:space="preserve">Meta </t>
  </si>
  <si>
    <t>Total Visitas</t>
  </si>
  <si>
    <t>MES</t>
  </si>
  <si>
    <t>Cumplimiento</t>
  </si>
  <si>
    <t>Total Efectivos</t>
  </si>
  <si>
    <t>Meta visitas normal</t>
  </si>
  <si>
    <t>Meta visitas Festivo</t>
  </si>
  <si>
    <t>Efectivos</t>
  </si>
  <si>
    <t>Microcelula</t>
  </si>
  <si>
    <t>Concat</t>
  </si>
  <si>
    <t>Fecha Festivo</t>
  </si>
  <si>
    <t>Día</t>
  </si>
  <si>
    <t>Nombre del Festivo</t>
  </si>
  <si>
    <t>Tipo / Nota</t>
  </si>
  <si>
    <t>2025-01-01</t>
  </si>
  <si>
    <t>Miércoles</t>
  </si>
  <si>
    <t>Año Nuevo</t>
  </si>
  <si>
    <t>Fijo</t>
  </si>
  <si>
    <t>2025-01-06</t>
  </si>
  <si>
    <t>Lunes</t>
  </si>
  <si>
    <t>Día de los Reyes Magos</t>
  </si>
  <si>
    <t>Ley Emiliani</t>
  </si>
  <si>
    <t>2025-03-24</t>
  </si>
  <si>
    <t>Día de San José</t>
  </si>
  <si>
    <t>2025-04-17</t>
  </si>
  <si>
    <t>Jueves</t>
  </si>
  <si>
    <t>Jueves Santo</t>
  </si>
  <si>
    <t>Semana Santa</t>
  </si>
  <si>
    <t>2025-04-18</t>
  </si>
  <si>
    <t>Viernes</t>
  </si>
  <si>
    <t>Viernes Santo</t>
  </si>
  <si>
    <t>2025-05-01</t>
  </si>
  <si>
    <t>Día del Trabajo</t>
  </si>
  <si>
    <t>2025-06-02</t>
  </si>
  <si>
    <t>Día de la Ascensión</t>
  </si>
  <si>
    <t>2025-06-23</t>
  </si>
  <si>
    <t>Corpus Christi</t>
  </si>
  <si>
    <t>2025-06-30</t>
  </si>
  <si>
    <t>Sagrado Corazón / San Pedro y San Pablo</t>
  </si>
  <si>
    <t>2025-07-20</t>
  </si>
  <si>
    <t>Domingo</t>
  </si>
  <si>
    <t>Día de la Independencia</t>
  </si>
  <si>
    <t>2025-08-07</t>
  </si>
  <si>
    <t>Batalla de Boyacá</t>
  </si>
  <si>
    <t>2025-08-18</t>
  </si>
  <si>
    <t>Asunción de la Virgen</t>
  </si>
  <si>
    <t>2025-10-13</t>
  </si>
  <si>
    <t>Día de la Raza</t>
  </si>
  <si>
    <t>2025-11-03</t>
  </si>
  <si>
    <t>Día de Todos los Santos</t>
  </si>
  <si>
    <t>2025-11-17</t>
  </si>
  <si>
    <t>Independencia de Cartagena</t>
  </si>
  <si>
    <t>2025-12-08</t>
  </si>
  <si>
    <t>Inmaculada Concepción</t>
  </si>
  <si>
    <t>2025-12-25</t>
  </si>
  <si>
    <t>Navidad</t>
  </si>
  <si>
    <t>2026-01-01</t>
  </si>
  <si>
    <t>2026-01-12</t>
  </si>
  <si>
    <t>2026-03-23</t>
  </si>
  <si>
    <t>2026-04-02</t>
  </si>
  <si>
    <t>2026-04-03</t>
  </si>
  <si>
    <t>2026-05-01</t>
  </si>
  <si>
    <t>2026-04-18</t>
  </si>
  <si>
    <t>Día de la Ascensión del Señor</t>
  </si>
  <si>
    <t>2026-06-08</t>
  </si>
  <si>
    <t>2026-06-15</t>
  </si>
  <si>
    <t>Sagrado Corazón de Jesús</t>
  </si>
  <si>
    <t>2026-06-29</t>
  </si>
  <si>
    <t>San Pedro y San Pablo</t>
  </si>
  <si>
    <t>2026-07-09</t>
  </si>
  <si>
    <t>Virgen de Chiquinquirá</t>
  </si>
  <si>
    <t>Nuevo Festivo (Ley 2424)</t>
  </si>
  <si>
    <t>2026-07-20</t>
  </si>
  <si>
    <t>2026-08-07</t>
  </si>
  <si>
    <t>2026-08-17</t>
  </si>
  <si>
    <t>2026-10-12</t>
  </si>
  <si>
    <t>2026-11-02</t>
  </si>
  <si>
    <t>2026-11-16</t>
  </si>
  <si>
    <t>2026-12-08</t>
  </si>
  <si>
    <t>Martes</t>
  </si>
  <si>
    <t>2026-12-25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</si>
</sst>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Calibri"/>
      <family val="2"/>
    </font>
    <font>
      <b/>
      <sz val="11"/>
      <color rgb="FFFFFFFF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6FA"/>
        <bgColor rgb="FFF2F6FA"/>
      </patternFill>
    </fill>
    <fill>
      <patternFill patternType="solid">
        <fgColor rgb="FFFFFFFF"/>
        <bgColor rgb="FFFFFFFF"/>
      </patternFill>
    </fill>
    <fill>
      <patternFill patternType="solid">
        <fgColor rgb="FF1F4E79"/>
        <bgColor rgb="FF1F4E7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6F977"/>
        <bgColor indexed="64"/>
      </patternFill>
    </fill>
    <fill>
      <patternFill patternType="solid">
        <fgColor theme="4" tint="0.79998168889431442"/>
        <bgColor rgb="FF000000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19" fillId="0" borderId="11" xfId="42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20" fillId="33" borderId="12" xfId="0" applyFont="1" applyFill="1" applyBorder="1" applyAlignment="1">
      <alignment horizontal="left"/>
    </xf>
    <xf numFmtId="0" fontId="20" fillId="33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left"/>
    </xf>
    <xf numFmtId="0" fontId="21" fillId="35" borderId="12" xfId="0" applyFont="1" applyFill="1" applyBorder="1" applyAlignment="1">
      <alignment horizontal="center" vertical="center"/>
    </xf>
    <xf numFmtId="0" fontId="22" fillId="0" borderId="11" xfId="0" applyFont="1" applyBorder="1" applyAlignment="1">
      <alignment wrapText="1"/>
    </xf>
    <xf numFmtId="0" fontId="23" fillId="0" borderId="11" xfId="0" applyFont="1" applyBorder="1" applyAlignment="1">
      <alignment wrapText="1"/>
    </xf>
    <xf numFmtId="14" fontId="22" fillId="0" borderId="11" xfId="0" applyNumberFormat="1" applyFont="1" applyBorder="1" applyAlignment="1">
      <alignment wrapText="1"/>
    </xf>
    <xf numFmtId="20" fontId="22" fillId="0" borderId="11" xfId="0" applyNumberFormat="1" applyFont="1" applyBorder="1" applyAlignment="1">
      <alignment wrapText="1"/>
    </xf>
    <xf numFmtId="0" fontId="24" fillId="0" borderId="11" xfId="0" applyFont="1" applyBorder="1" applyAlignment="1">
      <alignment wrapText="1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Alignment="1">
      <alignment horizontal="center"/>
    </xf>
    <xf numFmtId="0" fontId="0" fillId="36" borderId="0" xfId="0" applyFill="1"/>
    <xf numFmtId="0" fontId="16" fillId="36" borderId="0" xfId="0" applyFont="1" applyFill="1"/>
    <xf numFmtId="1" fontId="16" fillId="36" borderId="0" xfId="0" applyNumberFormat="1" applyFont="1" applyFill="1" applyAlignment="1">
      <alignment horizontal="center"/>
    </xf>
    <xf numFmtId="1" fontId="16" fillId="36" borderId="0" xfId="0" applyNumberFormat="1" applyFont="1" applyFill="1"/>
    <xf numFmtId="0" fontId="0" fillId="36" borderId="0" xfId="0" applyFill="1" applyAlignment="1">
      <alignment horizontal="right"/>
    </xf>
    <xf numFmtId="0" fontId="0" fillId="36" borderId="0" xfId="0" applyFill="1" applyAlignment="1">
      <alignment horizontal="center"/>
    </xf>
    <xf numFmtId="164" fontId="0" fillId="36" borderId="0" xfId="44" applyNumberFormat="1" applyFont="1" applyFill="1"/>
    <xf numFmtId="0" fontId="16" fillId="0" borderId="0" xfId="0" applyFont="1"/>
    <xf numFmtId="0" fontId="16" fillId="36" borderId="0" xfId="0" applyFont="1" applyFill="1" applyAlignment="1">
      <alignment horizontal="left"/>
    </xf>
    <xf numFmtId="0" fontId="25" fillId="37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38" borderId="10" xfId="0" applyFill="1" applyBorder="1" applyAlignment="1">
      <alignment vertical="top" wrapText="1"/>
    </xf>
    <xf numFmtId="0" fontId="19" fillId="0" borderId="10" xfId="42" applyBorder="1" applyAlignment="1">
      <alignment vertical="top" wrapText="1"/>
    </xf>
    <xf numFmtId="0" fontId="25" fillId="39" borderId="10" xfId="0" applyFont="1" applyFill="1" applyBorder="1" applyAlignment="1">
      <alignment horizontal="center" vertical="center" wrapText="1"/>
    </xf>
  </cellXfs>
  <cellStyles count="45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Hyperlink" xfId="43" xr:uid="{00000000-000B-0000-0000-000008000000}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Porcentaje" xfId="44" builtinId="5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F6F9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Puntos potenciales por Jefe</a:t>
            </a:r>
            <a:r>
              <a:rPr lang="es-CO" baseline="0"/>
              <a:t> de zona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Hoja4!$B$22</c:f>
              <c:strCache>
                <c:ptCount val="1"/>
                <c:pt idx="0">
                  <c:v>Cuenta de Nombre del Punto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Hoja4!$A$23:$A$37</c:f>
              <c:strCache>
                <c:ptCount val="15"/>
                <c:pt idx="0">
                  <c:v>Brayan Mogollón</c:v>
                </c:pt>
                <c:pt idx="1">
                  <c:v>CRISTIAN ESTUPIÃAN</c:v>
                </c:pt>
                <c:pt idx="2">
                  <c:v>Danny Bermeo</c:v>
                </c:pt>
                <c:pt idx="3">
                  <c:v>Diana Victoria Bernal Puentes</c:v>
                </c:pt>
                <c:pt idx="4">
                  <c:v>JOHN ALEJANDRO ALZATE ALZATE</c:v>
                </c:pt>
                <c:pt idx="5">
                  <c:v>SANDRA PADILLA</c:v>
                </c:pt>
                <c:pt idx="6">
                  <c:v>Alejandro Gomez</c:v>
                </c:pt>
                <c:pt idx="7">
                  <c:v>Brayan Ortiz</c:v>
                </c:pt>
                <c:pt idx="8">
                  <c:v>Diana Marcela Arevalo Gonzalez</c:v>
                </c:pt>
                <c:pt idx="9">
                  <c:v>MASSIEL LORENA GARZON MONTES</c:v>
                </c:pt>
                <c:pt idx="10">
                  <c:v>vicky Duque</c:v>
                </c:pt>
                <c:pt idx="11">
                  <c:v>CHRISTIAN CAMILO RODRIGUEZ</c:v>
                </c:pt>
                <c:pt idx="12">
                  <c:v>JAIRO HERNANDEZ</c:v>
                </c:pt>
                <c:pt idx="13">
                  <c:v>KATERIN  DIAZ ZORRO</c:v>
                </c:pt>
                <c:pt idx="14">
                  <c:v>Daniela  Menasse </c:v>
                </c:pt>
              </c:strCache>
            </c:strRef>
          </c:cat>
          <c:val>
            <c:numRef>
              <c:f>Hoja4!$B$23:$B$37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0D-403D-B243-887139BA1CA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457024592"/>
        <c:axId val="1457021712"/>
      </c:barChart>
      <c:catAx>
        <c:axId val="14570245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1712"/>
        <c:crosses val="autoZero"/>
        <c:auto val="1"/>
        <c:lblAlgn val="ctr"/>
        <c:lblOffset val="100"/>
        <c:noMultiLvlLbl val="0"/>
      </c:catAx>
      <c:valAx>
        <c:axId val="145702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C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D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904-4BFD-9BDD-858629C36615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4-4BFD-9BDD-858629C3661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1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73-4F0B-BD94-6D56655DFB6A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73-4F0B-BD94-6D56655DFB6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Cantidad de puntos mapeados por JZ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operaciones'!$A$2:$A$15</c:f>
              <c:strCache>
                <c:ptCount val="14"/>
                <c:pt idx="0">
                  <c:v>Daniela  Menasse </c:v>
                </c:pt>
                <c:pt idx="1">
                  <c:v>KATERIN  DIAZ ZORRO</c:v>
                </c:pt>
                <c:pt idx="2">
                  <c:v>CHRISTIAN CAMILO RODRIGUEZ</c:v>
                </c:pt>
                <c:pt idx="3">
                  <c:v>JAIRO HERNANDEZ</c:v>
                </c:pt>
                <c:pt idx="4">
                  <c:v>Alejandro Gomez</c:v>
                </c:pt>
                <c:pt idx="5">
                  <c:v>Brayan Ortiz</c:v>
                </c:pt>
                <c:pt idx="6">
                  <c:v>Diana Marcela Arevalo Gonzalez</c:v>
                </c:pt>
                <c:pt idx="7">
                  <c:v>MASSIEL LORENA GARZON MONTES</c:v>
                </c:pt>
                <c:pt idx="8">
                  <c:v>vicky Duque</c:v>
                </c:pt>
                <c:pt idx="9">
                  <c:v>Brayan Mogollón</c:v>
                </c:pt>
                <c:pt idx="10">
                  <c:v>CRISTIAN ESTUPIÃAN</c:v>
                </c:pt>
                <c:pt idx="11">
                  <c:v>Danny Bermeo</c:v>
                </c:pt>
                <c:pt idx="12">
                  <c:v>JOHN ALEJANDRO ALZATE ALZATE</c:v>
                </c:pt>
                <c:pt idx="13">
                  <c:v>SANDRA PADILLA</c:v>
                </c:pt>
              </c:strCache>
            </c:strRef>
          </c:cat>
          <c:val>
            <c:numRef>
              <c:f>'Resumen operaciones'!$C$2:$C$15</c:f>
              <c:numCache>
                <c:formatCode>General</c:formatCode>
                <c:ptCount val="14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7B-4CAD-AB46-483BB664FE1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806368944"/>
        <c:axId val="1806373264"/>
      </c:barChart>
      <c:catAx>
        <c:axId val="18063689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6373264"/>
        <c:crosses val="autoZero"/>
        <c:auto val="1"/>
        <c:lblAlgn val="ctr"/>
        <c:lblOffset val="100"/>
        <c:noMultiLvlLbl val="0"/>
      </c:catAx>
      <c:valAx>
        <c:axId val="1806373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636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</xdr:colOff>
      <xdr:row>20</xdr:row>
      <xdr:rowOff>152400</xdr:rowOff>
    </xdr:from>
    <xdr:to>
      <xdr:col>9</xdr:col>
      <xdr:colOff>15875</xdr:colOff>
      <xdr:row>39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415227C-D3CB-E457-7B95-767B953B25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16436</xdr:colOff>
      <xdr:row>39</xdr:row>
      <xdr:rowOff>169449</xdr:rowOff>
    </xdr:from>
    <xdr:to>
      <xdr:col>9</xdr:col>
      <xdr:colOff>16435</xdr:colOff>
      <xdr:row>54</xdr:row>
      <xdr:rowOff>147785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82312BB-62C6-BB14-6004-D9BCC3B38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53814</xdr:colOff>
      <xdr:row>20</xdr:row>
      <xdr:rowOff>150678</xdr:rowOff>
    </xdr:from>
    <xdr:to>
      <xdr:col>15</xdr:col>
      <xdr:colOff>53813</xdr:colOff>
      <xdr:row>38</xdr:row>
      <xdr:rowOff>150539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8451E82-DB4C-42CB-8DCE-6063E5847B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3175</xdr:colOff>
      <xdr:row>0</xdr:row>
      <xdr:rowOff>177800</xdr:rowOff>
    </xdr:from>
    <xdr:to>
      <xdr:col>13</xdr:col>
      <xdr:colOff>342901</xdr:colOff>
      <xdr:row>19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9116C6B-D6C7-7CA7-6168-2DB66D6EC3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24.476254861111" createdVersion="8" refreshedVersion="8" minRefreshableVersion="3" recordCount="33" xr:uid="{3149D017-04DA-416B-A257-0B2370D97D60}">
  <cacheSource type="worksheet">
    <worksheetSource ref="A1:U34" sheet="Visitas_Operaciones"/>
  </cacheSource>
  <cacheFields count="20">
    <cacheField name="ID" numFmtId="0">
      <sharedItems containsSemiMixedTypes="0" containsString="0" containsNumber="1" containsInteger="1" minValue="3649217" maxValue="3668119"/>
    </cacheField>
    <cacheField name="Jefe de zona" numFmtId="0">
      <sharedItems count="17">
        <s v="Juan Rojas"/>
        <s v="SANDRA PADILLA"/>
        <s v="JOHN ALEJANDRO ALZATE ALZATE"/>
        <s v="KATERIN  DIAZ ZORRO"/>
        <s v="JAIRO HERNANDEZ"/>
        <s v="Alejandro Gomez"/>
        <s v="CRISTIAN ESTUPIÃ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brayan.mogollon@oxxo.com" u="1"/>
      </sharedItems>
    </cacheField>
    <cacheField name="Correo" numFmtId="0">
      <sharedItems/>
    </cacheField>
    <cacheField name="Fecha de inicio" numFmtId="0">
      <sharedItems/>
    </cacheField>
    <cacheField name="Fecha de envío" numFmtId="0">
      <sharedItems/>
    </cacheField>
    <cacheField name="Hora" numFmtId="0">
      <sharedItems/>
    </cacheField>
    <cacheField name="Año" numFmtId="0">
      <sharedItems containsSemiMixedTypes="0" containsString="0" containsNumber="1" containsInteger="1" minValue="2026" maxValue="2026"/>
    </cacheField>
    <cacheField name="Mes" numFmtId="0">
      <sharedItems/>
    </cacheField>
    <cacheField name="Estado" numFmtId="0">
      <sharedItems/>
    </cacheField>
    <cacheField name="Nombre del Punto " numFmtId="0">
      <sharedItems/>
    </cacheField>
    <cacheField name="Región" numFmtId="0">
      <sharedItems count="3">
        <s v="Centro"/>
        <s v="Nororiente"/>
        <s v="Occidente"/>
      </sharedItems>
    </cacheField>
    <cacheField name="Plaza" numFmtId="0">
      <sharedItems/>
    </cacheField>
    <cacheField name="Dirección" numFmtId="0">
      <sharedItems/>
    </cacheField>
    <cacheField name="Enlace de la ubicación en Google Maps" numFmtId="0">
      <sharedItems longText="1"/>
    </cacheField>
    <cacheField name="Segmento de tienda aproximado" numFmtId="0">
      <sharedItems/>
    </cacheField>
    <cacheField name="Tienda de local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3506549064"/>
    </cacheField>
    <cacheField name="Contacto del Propietario (Correo Electronico)" numFmtId="0">
      <sharedItems containsMixedTypes="1" containsNumber="1" containsInteger="1" minValue="3002661196" maxValue="3506549064"/>
    </cacheField>
    <cacheField name="Fotos del Local Revisado" numFmtId="0">
      <sharedItems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n v="3649217"/>
    <x v="0"/>
    <s v="juanp.rojas@oxxo.com"/>
    <s v="14/07/2026"/>
    <s v="14/07/2026"/>
    <s v="07:43"/>
    <n v="2026"/>
    <s v="07"/>
    <s v="Enviado"/>
    <s v="Prueba 1"/>
    <x v="0"/>
    <s v="Bogotá"/>
    <s v="Cualquier cosa"/>
    <s v="Bsbsjaha"/>
    <s v="Base"/>
    <s v="Esquinero"/>
    <s v="Zona Comercial"/>
    <s v="Hshshs"/>
    <s v="Hahshs"/>
    <s v="Foto: https://oxxo-colombia.oneapp.cl/static/img/Respuesta/62602229/6d8ffd2e8c6478e019c6e6f2f184cd89.jpg"/>
  </r>
  <r>
    <n v="3649249"/>
    <x v="1"/>
    <s v="sandra.padilla@oxxo.com"/>
    <s v="14/07/2026"/>
    <s v="14/07/2026"/>
    <s v="08:19"/>
    <n v="2026"/>
    <s v="07"/>
    <s v="Enviado"/>
    <s v="Centro comercial cañaveral"/>
    <x v="1"/>
    <s v="Oriente"/>
    <s v="Calle 30 # 30-04 centro comercial cañaveral"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Esquinero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</r>
  <r>
    <n v="3649241"/>
    <x v="0"/>
    <s v="juanp.rojas@oxxo.com"/>
    <s v="14/07/2026"/>
    <s v="14/07/2026"/>
    <s v="08:31"/>
    <n v="2026"/>
    <s v="07"/>
    <s v="Enviado"/>
    <s v="Prueba 1"/>
    <x v="0"/>
    <s v="Bogotá"/>
    <s v="Cra 8#17-25"/>
    <s v="https://maps.app.goo.gl/sQCBBmYmfUFgSJJw5?g_st=ic"/>
    <s v="Base"/>
    <s v="Esquinero"/>
    <s v="Zona Administrativa"/>
    <n v="3115620222"/>
    <s v="Jajahdy"/>
    <s v="Foto: https://oxxo-colombia.oneapp.cl/static/img/Respuesta/62607707/a67a6d94f2caa7f4eddd443c3d853b30.jpg"/>
  </r>
  <r>
    <n v="3649264"/>
    <x v="2"/>
    <s v="john.alzate@oxxo.com"/>
    <s v="14/07/2026"/>
    <s v="14/07/2026"/>
    <s v="08:31"/>
    <n v="2026"/>
    <s v="07"/>
    <s v="Enviado"/>
    <s v="Prueba alejando alzate"/>
    <x v="2"/>
    <s v="Eje Cafetero"/>
    <s v="Calle 10 10 01"/>
    <s v="https://maps.app.goo.gl/zs9eYrx3BXeghThK7?g_st=ac"/>
    <s v="Receso "/>
    <s v="Esquinero"/>
    <s v="Zona Residencial"/>
    <s v="Prueba"/>
    <s v="Prueba"/>
    <s v="Foto: https://oxxo-colombia.oneapp.cl/static/img/Respuesta/62607776/1bbc7e3ecea7bb71752ba7f613178b51.jpg_x000a_Foto: https://oxxo-colombia.oneapp.cl/static/img/Respuesta/62607776/d01736f34cf7d2fbf49c953d76e353f2.jpg"/>
  </r>
  <r>
    <n v="3649288"/>
    <x v="3"/>
    <s v="katerin.diaz@oxxo.com"/>
    <s v="14/07/2026"/>
    <s v="14/07/2026"/>
    <s v="08:50"/>
    <n v="2026"/>
    <s v="07"/>
    <s v="Enviado"/>
    <s v="Autopista 159"/>
    <x v="0"/>
    <s v="Bogotá"/>
    <s v="Calle 159a 22 76"/>
    <s v="https://maps.app.goo.gl/ARHY4pjoMEGefriy5?g_st=iw"/>
    <s v="Base"/>
    <s v="Esquinero"/>
    <s v="Zona Comercial"/>
    <n v="3103340792"/>
    <s v="Nimguno"/>
    <s v="Foto: https://oxxo-colombia.oneapp.cl/static/img/Respuesta/62609012/0c78ccadb1951931f9f9e598456c2f02.jpg"/>
  </r>
  <r>
    <n v="3649297"/>
    <x v="3"/>
    <s v="katerin.diaz@oxxo.com"/>
    <s v="14/07/2026"/>
    <s v="14/07/2026"/>
    <s v="09:25"/>
    <n v="2026"/>
    <s v="07"/>
    <s v="Enviado"/>
    <s v="Parque Toberin"/>
    <x v="0"/>
    <s v="Bogotá"/>
    <s v="Cra 21 168"/>
    <s v="https://maps.app.goo.gl/RdznzFN8oeXt4BzY8?g_st=iw"/>
    <s v="Base"/>
    <s v="Esquinero"/>
    <s v="Zona Comercial"/>
    <n v="3004550101"/>
    <s v="Ninguno"/>
    <s v="Foto: https://oxxo-colombia.oneapp.cl/static/img/Respuesta/62611190/aab0753a5550540c761da14167e590bd.jpg"/>
  </r>
  <r>
    <n v="3649449"/>
    <x v="4"/>
    <s v="jairo.hernandez@oxxo.com"/>
    <s v="14/07/2026"/>
    <s v="14/07/2026"/>
    <s v="15:19"/>
    <n v="2026"/>
    <s v="07"/>
    <s v="Enviado"/>
    <s v="Oxxo Bolivar Desnudo"/>
    <x v="2"/>
    <s v="Eje Cafetero"/>
    <s v="Calle 19 carrera 7 esquina"/>
    <s v="https://maps.app.goo.gl/cyi7f3fML7fKbAXTA"/>
    <s v="Receso "/>
    <s v="Esquinero"/>
    <s v="Zona Comercial"/>
    <s v="Juan Esteban Arbelaez_x000a_3218303155"/>
    <s v="Luvikasu@hotmail.com"/>
    <s v="Foto: https://oxxo-colombia.oneapp.cl/static/img/Respuesta/62624413/20c771fc6c9288613883161d80b62535.jpg"/>
  </r>
  <r>
    <n v="3649582"/>
    <x v="4"/>
    <s v="jairo.hernandez@oxxo.com"/>
    <s v="14/07/2026"/>
    <s v="14/07/2026"/>
    <s v="16:17"/>
    <n v="2026"/>
    <s v="07"/>
    <s v="Enviado"/>
    <s v="Oxxo Los Rosales"/>
    <x v="2"/>
    <s v="Eje Cafetero"/>
    <s v="Carrera 9 24- 62"/>
    <s v="https://maps.app.goo.gl/QBWShgaJxsi6X6WG7"/>
    <s v="Base"/>
    <s v="Medianero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</r>
  <r>
    <n v="3649592"/>
    <x v="5"/>
    <s v="alejandror.gomez@oxxo.com"/>
    <s v="14/07/2026"/>
    <s v="14/07/2026"/>
    <s v="16:33"/>
    <n v="2026"/>
    <s v="07"/>
    <s v="Enviado"/>
    <s v="Oxxo cra 13"/>
    <x v="2"/>
    <s v="Eje Cafetero"/>
    <s v="Cra 13 no 11-09"/>
    <s v="https://maps.app.goo.gl/ZQgrkgw8KHzSeLA8A?g_st=iw"/>
    <s v="Base"/>
    <s v="Esquinero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</r>
  <r>
    <n v="3649609"/>
    <x v="6"/>
    <s v="cristian.romero@oxxo.com"/>
    <s v="14/07/2026"/>
    <s v="14/07/2026"/>
    <s v="17:11"/>
    <n v="2026"/>
    <s v="07"/>
    <s v="Enviado"/>
    <s v="Parque industrial kuma"/>
    <x v="0"/>
    <s v="Centro Norte"/>
    <s v="Km 4 via Zipaquirá Bogotá después de el puente de ingreso a Zipaquirá variante Zipaquirá Ubaté vía nacional"/>
    <s v="https://maps.app.goo.gl/a95PSeawc8zDeAyD7"/>
    <s v="Receso "/>
    <s v="Esquinero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</r>
  <r>
    <n v="3652749"/>
    <x v="7"/>
    <s v="daniela.menasse@oxxo.com"/>
    <s v="15/07/2026"/>
    <s v="15/07/2026"/>
    <s v="08:30"/>
    <n v="2026"/>
    <s v="07"/>
    <s v="Enviado"/>
    <s v="Santo Tomás"/>
    <x v="0"/>
    <s v="Bogotá"/>
    <s v="Carrera 13#52-30 esquina"/>
    <s v="https://maps.app.goo.gl/ZgYr7gZUWwWBfsNb6?g_st=ic"/>
    <s v="Receso "/>
    <s v="Esquinero"/>
    <s v="Zona Comercial"/>
    <n v="3112914286"/>
    <s v="No tengo"/>
    <s v="Foto: https://oxxo-colombia.oneapp.cl/static/img/Respuesta/62673636/9c5c324d38e1b8d01a037616b3a8b20d.jpg"/>
  </r>
  <r>
    <n v="3652752"/>
    <x v="7"/>
    <s v="daniela.menasse@oxxo.com"/>
    <s v="15/07/2026"/>
    <s v="15/07/2026"/>
    <s v="08:34"/>
    <n v="2026"/>
    <s v="07"/>
    <s v="Enviado"/>
    <s v="Parque Santa Bárbara"/>
    <x v="0"/>
    <s v="Bogotá"/>
    <s v="Calle 122#18b-07"/>
    <s v="https://maps.app.goo.gl/roHspvGqX4kLWBoAA?g_st=ic"/>
    <s v="Receso "/>
    <s v="Medianero"/>
    <s v="Zona Comercial"/>
    <n v="3112034494"/>
    <s v="No tengo"/>
    <s v="Foto: https://oxxo-colombia.oneapp.cl/static/img/Respuesta/62673905/121c03b3a3e9f205107fe002e8fb6043.jpg"/>
  </r>
  <r>
    <n v="3652756"/>
    <x v="7"/>
    <s v="daniela.menasse@oxxo.com"/>
    <s v="15/07/2026"/>
    <s v="15/07/2026"/>
    <s v="08:39"/>
    <n v="2026"/>
    <s v="07"/>
    <s v="Enviado"/>
    <s v="Av cra 15?"/>
    <x v="0"/>
    <s v="Bogotá"/>
    <s v="Av 15#118-93"/>
    <s v="https://maps.app.goo.gl/2TZH47f4N86NTjSb6?g_st=ic"/>
    <s v="Receso "/>
    <s v="Medianero"/>
    <s v="Zona Comercial"/>
    <n v="3114910947"/>
    <s v="Anterior Banco caja social"/>
    <s v="Foto: https://oxxo-colombia.oneapp.cl/static/img/Respuesta/62674064/875b2ce52d5c7099e6bb984754d0bfe0.jpg"/>
  </r>
  <r>
    <n v="3652790"/>
    <x v="8"/>
    <s v="brayan.ortiz@oxxo.com"/>
    <s v="15/07/2026"/>
    <s v="15/07/2026"/>
    <s v="09:22"/>
    <n v="2026"/>
    <s v="07"/>
    <s v="Enviado"/>
    <s v="Tunjuelito"/>
    <x v="0"/>
    <s v="Bogotá"/>
    <s v="Cra 12b 52 80 sur"/>
    <s v="https://maps.app.goo.gl/uNEnpfgoDAbeptMD7?g_st=ac"/>
    <s v="Hogar"/>
    <s v="Esquinero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</r>
  <r>
    <n v="3652807"/>
    <x v="7"/>
    <s v="daniela.menasse@oxxo.com"/>
    <s v="15/07/2026"/>
    <s v="15/07/2026"/>
    <s v="09:42"/>
    <n v="2026"/>
    <s v="07"/>
    <s v="Enviado"/>
    <s v="Le grand"/>
    <x v="0"/>
    <s v="Bogotá"/>
    <s v="Av 116#15-2"/>
    <s v="https://maps.app.goo.gl/37dHFgR4RCV1TvPe8?g_st=ic"/>
    <s v="Receso "/>
    <s v="Medianero"/>
    <s v="Zona Comercial"/>
    <s v="3142182464_x000a_3164705512"/>
    <s v="No tengo"/>
    <s v="Foto: https://oxxo-colombia.oneapp.cl/static/img/Respuesta/62677931/f8c06c7abb8003e063af29295ee75181.jpg"/>
  </r>
  <r>
    <n v="3652812"/>
    <x v="7"/>
    <s v="daniela.menasse@oxxo.com"/>
    <s v="15/07/2026"/>
    <s v="15/07/2026"/>
    <s v="09:48"/>
    <n v="2026"/>
    <s v="07"/>
    <s v="Enviado"/>
    <s v="Pepe av 116"/>
    <x v="0"/>
    <s v="Bogotá"/>
    <s v="Av 116 16-78"/>
    <s v="https://maps.app.goo.gl/FbPpk8UWb766FAqY8?g_st=ic"/>
    <s v="Receso "/>
    <s v="Medianero"/>
    <s v="Zona Comercial"/>
    <n v="3105722683"/>
    <s v="Hay 3 locales desocupados _x000a_2 pegados para que de el área y otro 102 m2"/>
    <s v="Foto: https://oxxo-colombia.oneapp.cl/static/img/Respuesta/62678392/15e782c8af7c8926b7b1e25733587063.jpg"/>
  </r>
  <r>
    <n v="3652852"/>
    <x v="9"/>
    <s v="diana.arevalo@oxxo.com"/>
    <s v="15/07/2026"/>
    <s v="15/07/2026"/>
    <s v="10:38"/>
    <n v="2026"/>
    <s v="07"/>
    <s v="Enviado"/>
    <s v="Fusa Sutagao"/>
    <x v="0"/>
    <s v="Centro Sur "/>
    <s v="EDS Primax - Antigua Panamericana, Arbeláez-Fusagasuga, Fusagasugá, Cundinamarca"/>
    <s v="https://goo.gl/maps/hD1QaqZei8hNKnUy5?g_st=aw"/>
    <s v="Receso "/>
    <s v="Esquinero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</r>
  <r>
    <n v="3652942"/>
    <x v="10"/>
    <s v="vicky.duque@oxxo.com"/>
    <s v="15/07/2026"/>
    <s v="15/07/2026"/>
    <s v="12:13"/>
    <n v="2026"/>
    <s v="07"/>
    <s v="Enviado"/>
    <s v="Posible OXXO 52 con 13 Frente al Éxito de la 51, antes había un tren Presto, excelente ubicación, se adjuntan fotos"/>
    <x v="0"/>
    <s v="Bogotá"/>
    <s v="Carrera 13# 52-22"/>
    <s v="https://maps.app.goo.gl/9rC2X5676JGMq3sp8?g_st=iw"/>
    <s v="Base"/>
    <s v="Medianero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</r>
  <r>
    <n v="3652948"/>
    <x v="11"/>
    <s v="christian.rodriguezmarin@oxxo.com"/>
    <s v="15/07/2026"/>
    <s v="15/07/2026"/>
    <s v="12:22"/>
    <n v="2026"/>
    <s v="07"/>
    <s v="Enviado"/>
    <s v="Centro comercial el portico"/>
    <x v="0"/>
    <s v="Centro Sur "/>
    <s v="Centro comercial el pórtico n Fusagasuga"/>
    <s v="https://maps.app.goo.gl/XKjbjeAS9omZeFTB7?g_st=iw"/>
    <s v="Receso "/>
    <s v="Medianero"/>
    <s v="Zona Comercial"/>
    <n v="3105652759"/>
    <s v="No"/>
    <s v="Foto: https://oxxo-colombia.oneapp.cl/static/img/Respuesta/62686443/a90e81c94dc88f1e8890866ca6ead133.jpg"/>
  </r>
  <r>
    <n v="3652991"/>
    <x v="11"/>
    <s v="christian.rodriguezmarin@oxxo.com"/>
    <s v="15/07/2026"/>
    <s v="15/07/2026"/>
    <s v="13:21"/>
    <n v="2026"/>
    <s v="07"/>
    <s v="Enviado"/>
    <s v="Chapinero facatativa"/>
    <x v="0"/>
    <s v="Centro Sur "/>
    <s v="Calle 1 #3-97"/>
    <s v="https://maps.app.goo.gl/PhzXtYjgkKMemPb39?g_st=iw"/>
    <s v="Base"/>
    <s v="Esquinero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</r>
  <r>
    <n v="3653000"/>
    <x v="12"/>
    <s v="danny.perdomo@oxxo.com"/>
    <s v="15/07/2026"/>
    <s v="15/07/2026"/>
    <s v="13:37"/>
    <n v="2026"/>
    <s v="07"/>
    <s v="Enviado"/>
    <s v="Pasaje 10.60 Outlet américas"/>
    <x v="0"/>
    <s v="Bogotá"/>
    <s v="Cra 60 # 10_ 44 local 105"/>
    <s v="https://maps.app.goo.gl/qaYbvGnqLY1HZztv8"/>
    <s v="Receso "/>
    <s v="Esquinero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</r>
  <r>
    <n v="3653008"/>
    <x v="11"/>
    <s v="christian.rodriguezmarin@oxxo.com"/>
    <s v="15/07/2026"/>
    <s v="15/07/2026"/>
    <s v="13:43"/>
    <n v="2026"/>
    <s v="07"/>
    <s v="Enviado"/>
    <s v="Montecarlo facatativa"/>
    <x v="0"/>
    <s v="Centro Sur "/>
    <s v="Calle 2#5-03"/>
    <s v="https://maps.app.goo.gl/8ZCCS79gfk7pGP9C6?g_st=iw"/>
    <s v="Base"/>
    <s v="Medianero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</r>
  <r>
    <n v="3653140"/>
    <x v="10"/>
    <s v="vicky.duque@oxxo.com"/>
    <s v="15/07/2026"/>
    <s v="15/07/2026"/>
    <s v="19:51"/>
    <n v="2026"/>
    <s v="07"/>
    <s v="Enviado"/>
    <s v="OXXO olímpica 53, sector tráfico x cadenas olípica, Farmatodo, dollarciry, vía principal sobre la Boyacá con 53, residencial y comercial"/>
    <x v="0"/>
    <s v="Bogotá"/>
    <s v="Av calle 53 # av cr 72"/>
    <s v="https://maps.app.goo.gl/RXJBFg5X1vNJ3zZ66?g_st=iw"/>
    <s v="Base"/>
    <s v="Esquinero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</r>
  <r>
    <n v="3653143"/>
    <x v="13"/>
    <s v="massiel.garzon@oxxo.com"/>
    <s v="15/07/2026"/>
    <s v="15/07/2026"/>
    <s v="19:57"/>
    <n v="2026"/>
    <s v="07"/>
    <s v="Enviado"/>
    <s v="Santa Beatriz"/>
    <x v="0"/>
    <s v="Bogotá"/>
    <s v="Cra 15 n 118 93"/>
    <s v="https://maps.app.goo.gl/xqXqLXgy7UCyB6pz9?g_st=ac"/>
    <s v="Base"/>
    <s v="Medianero"/>
    <s v="Zona Comercial"/>
    <n v="3114910947"/>
    <s v="N/A"/>
    <s v="Foto: https://oxxo-colombia.oneapp.cl/static/img/Respuesta/62695161/307ee68386c324cb589766d182d3dbf3.jpg"/>
  </r>
  <r>
    <n v="3653092"/>
    <x v="14"/>
    <s v="brayan.mogollon@oxxo.com"/>
    <s v="15/07/2026"/>
    <s v="15/07/2026"/>
    <s v="21:05"/>
    <n v="2026"/>
    <s v="07"/>
    <s v="Enviado"/>
    <s v="Citadinno"/>
    <x v="0"/>
    <s v="Centro Sur "/>
    <s v="Carrera 13 #33 a - 10"/>
    <s v="https://maps.app.goo.gl/UgKek3eZnzV3KFSy6"/>
    <s v="Hogar"/>
    <s v="Medianero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</r>
  <r>
    <n v="3656243"/>
    <x v="9"/>
    <s v="diana.arevalo@oxxo.com"/>
    <s v="16/07/2026"/>
    <s v="16/07/2026"/>
    <s v="09:43"/>
    <n v="2026"/>
    <s v="07"/>
    <s v="Enviado"/>
    <s v="Girardot Oasis"/>
    <x v="0"/>
    <s v="Centro Sur "/>
    <s v="Carrera 10 # 19 -87  _x000a_Centro  comercial Oasis _x000a_Teléfono  8361574"/>
    <s v="https://maps.app.goo.gl/4XVD4C94joAnoLQU8?g_st=aw"/>
    <s v="Base"/>
    <s v="Esquinero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</r>
  <r>
    <n v="3656464"/>
    <x v="3"/>
    <s v="katerin.diaz@oxxo.com"/>
    <s v="16/07/2026"/>
    <s v="16/07/2026"/>
    <s v="13:29"/>
    <n v="2026"/>
    <s v="07"/>
    <s v="Enviado"/>
    <s v="Auto 161"/>
    <x v="0"/>
    <s v="Bogotá"/>
    <s v="Cra 45 161 40"/>
    <s v="https://maps.app.goo.gl/5bYucWhBPLEHru7D8"/>
    <s v="Base"/>
    <s v="Medianero"/>
    <s v="Zona Comercial"/>
    <n v="3123311755"/>
    <n v="3208997195"/>
    <s v="Foto: https://oxxo-colombia.oneapp.cl/static/img/Respuesta/62748121/b84838d7b907b803fb8d0920d6242ab2.jpg"/>
  </r>
  <r>
    <n v="3656477"/>
    <x v="8"/>
    <s v="brayan.ortiz@oxxo.com"/>
    <s v="16/07/2026"/>
    <s v="16/07/2026"/>
    <s v="13:45"/>
    <n v="2026"/>
    <s v="07"/>
    <s v="Enviado"/>
    <s v="Siena apartamentos"/>
    <x v="0"/>
    <s v="Bogotá"/>
    <s v="Dg 68 a sur #14 T 20"/>
    <s v="https://maps.app.goo.gl/QEQfuLMTfSvDtyZS7?g_st=ac"/>
    <s v="Hogar"/>
    <s v="Esquinero"/>
    <s v="Zona Residencial"/>
    <n v="3205633053"/>
    <n v="3205633053"/>
    <s v="Foto: https://oxxo-colombia.oneapp.cl/static/img/Respuesta/62748317/3322645e671d2b25cb5eef3ae49b30cc.jpg"/>
  </r>
  <r>
    <n v="3656520"/>
    <x v="5"/>
    <s v="alejandror.gomez@oxxo.com"/>
    <s v="16/07/2026"/>
    <s v="16/07/2026"/>
    <s v="15:12"/>
    <n v="2026"/>
    <s v="07"/>
    <s v="Enviado"/>
    <s v="Pinares"/>
    <x v="2"/>
    <s v="Eje Cafetero"/>
    <s v="Calle 14, esquina de clinica san rafael y megacentro pereira"/>
    <s v="https://maps.app.goo.gl/DsZejbLUvxEXoxAA6?g_st=awb"/>
    <s v="Receso "/>
    <s v="Medianero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</r>
  <r>
    <n v="3656577"/>
    <x v="4"/>
    <s v="jairo.hernandez@oxxo.com"/>
    <s v="16/07/2026"/>
    <s v="16/07/2026"/>
    <s v="16:55"/>
    <n v="2026"/>
    <s v="07"/>
    <s v="Enviado"/>
    <s v="Oxxo Monarca"/>
    <x v="2"/>
    <s v="Eje Cafetero"/>
    <s v="Sector las piñas cerritos, Mall Plaza Monarca"/>
    <s v="https://maps.app.goo.gl/crfJcUJxJcrVFGAw8?g_st=awb"/>
    <s v="Base"/>
    <s v="Esquinero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</r>
  <r>
    <n v="3656588"/>
    <x v="13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x v="0"/>
    <s v="Bogotá"/>
    <s v="Auto Norte cra 45 N 122 36"/>
    <s v="https://maps.app.goo.gl/M7GS1t882L9X2s5X7?g_st=ac"/>
    <s v="Base"/>
    <s v="Medianero"/>
    <s v="Zona Comercial"/>
    <s v="3102960548_x000a_3134539405_x000a_3222535839"/>
    <s v="N/A"/>
    <s v="Foto: https://oxxo-colombia.oneapp.cl/static/img/Respuesta/62753216/3b2b19a79c8df3a1b7b1e3a59b46ba4b.jpg"/>
  </r>
  <r>
    <n v="3656652"/>
    <x v="3"/>
    <s v="katerin.diaz@oxxo.com"/>
    <s v="16/07/2026"/>
    <s v="16/07/2026"/>
    <s v="21:40"/>
    <n v="2026"/>
    <s v="07"/>
    <s v="Enviado"/>
    <s v="Pinar"/>
    <x v="0"/>
    <s v="Bogotá"/>
    <s v="Cra 97b calle 153"/>
    <s v="https://maps.app.goo.gl/Zs8Bp3Xwscm3Lyq39"/>
    <s v="Hogar"/>
    <s v="Esquinero"/>
    <s v="Zona Residencial"/>
    <n v="3124883281"/>
    <n v="3028167161"/>
    <s v="Foto: 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</r>
  <r>
    <n v="3668119"/>
    <x v="15"/>
    <s v="diana.bernal@oxxo.com"/>
    <s v="19/07/2026"/>
    <s v="19/07/2026"/>
    <s v="11:52"/>
    <n v="2026"/>
    <s v="07"/>
    <s v="Enviado"/>
    <s v="OXXO ESMERALDA"/>
    <x v="0"/>
    <s v="Centro Norte"/>
    <s v="Calle 11 Cra 11 esquina"/>
    <s v="https://maps.app.goo.gl/xG4YUUbdmJKMJHGW8?g_st=aw"/>
    <s v="Hogar"/>
    <s v="Esquinero"/>
    <s v="Zona Residencial"/>
    <s v="LUis Alberto Páez"/>
    <n v="3112581902"/>
    <s v="Foto: https://oxxo-colombia.oneapp.cl/static/img/Respuesta/62915009/fc0338b1145297bcaa7fe7e1a19bac18.jpg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2D6284-EEC0-4798-A3C3-9BD5487465C1}" name="TablaDinámica5" cacheId="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3:B7" firstHeaderRow="1" firstDataRow="1" firstDataCol="1" rowPageCount="1" colPageCount="1"/>
  <pivotFields count="20">
    <pivotField showAll="0"/>
    <pivotField axis="axisPage" multipleItemSelectionAllowed="1" showAll="0" sortType="ascending">
      <items count="18">
        <item x="5"/>
        <item x="14"/>
        <item x="8"/>
        <item m="1" x="16"/>
        <item x="11"/>
        <item x="6"/>
        <item x="7"/>
        <item x="12"/>
        <item x="9"/>
        <item x="15"/>
        <item x="4"/>
        <item x="2"/>
        <item h="1" x="0"/>
        <item x="3"/>
        <item x="13"/>
        <item x="1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1" hier="-1"/>
  </pageFields>
  <dataFields count="1">
    <dataField name="Cuenta de Nombre del Punto " fld="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A2E7C4F-1DE8-4BA9-9ED5-A112220F014C}">
  <we:reference id="wa200004179" version="2025.3.0.0" store="en-US" storeType="OMEX"/>
  <we:alternateReferences>
    <we:reference id="wa200004179" version="2025.3.0.0" store="" storeType="OMEX"/>
  </we:alternateReferences>
  <we:properties>
    <we:property name="Esri.A4E.GeometryCache.cachedgeocode@@co@@https://geocode.arcgis.com/arcgis/rest/services/world/geocodeserver@@singleline" value="&quot;{40F3D427-5BDE-47CB-9FED-B3E563193BA5}&quot;"/>
    <we:property name="app-config" value="&quot;{\&quot;map\&quot;:{\&quot;webmap\&quot;:{\&quot;is3d\&quot;:false,\&quot;itemData\&quot;:{\&quot;operationalLayers\&quot;:[{\&quot;id\&quot;:\&quot;19ba47b8dd7-layer-3\&quot;,\&quot;visibility\&quot;:true,\&quot;opacity\&quot;:1,\&quot;minScale\&quot;:0,\&quot;maxScale\&quot;:0,\&quot;refreshInterval\&quot;:0,\&quot;title\&quot;:\&quot;'Expansion_2025-11-10-11.35.01'!U2:V74\&quot;,\&quot;objectIdField\&quot;:\&quot;objectId\&quot;,\&quot;type\&quot;:\&quot;DataLayer\&quot;,\&quot;layerType\&quot;:\&quot;ArcGISFeatureLayer\&quot;,\&quot;popupEnabled\&quot;:true,\&quot;disablePopup\&quot;:false,\&quot;visible\&quot;:true,\&quot;geometryType\&quot;:\&quot;point\&quot;,\&quot;source\&quot;:[{\&quot;attributes\&quot;:{},\&quot;geometry\&quot;:{\&quot;x\&quot;:0,\&quot;y\&quot;:0,\&quot;type\&quot;:\&quot;point\&quot;,\&quot;spatialReference\&quot;:{\&quot;latestWkid\&quot;:3857,\&quot;wkid\&quot;:102100}}}],\&quot;spatialReference\&quot;:{\&quot;latestWkid\&quot;:3857,\&quot;wkid\&quot;:102100},\&quot;esriMaps\&quot;:{\&quot;customProps\&quot;:{\&quot;dataTableType\&quot;:\&quot;CellRangeWithHeader\&quot;},\&quot;isTimeEnabled\&quot;:\&quot;false\&quot;,\&quot;clusterInfo\&quot;:null,\&quot;lastShareInfo\&quot;:null},\&quot;timeInfo\&quot;:null,\&quot;showLabels\&quot;:true,\&quot;featureCollection\&quot;:{\&quot;layers\&quot;:[{\&quot;popupInfo\&quot;:{\&quot;popupElements\&quot;:[{\&quot;type\&quot;:\&quot;fields\&quot;,\&quot;fieldInfos\&quot;:[{\&quot;fieldName\&quot;:\&quot;expression/excel_row_id\&quot;,\&quot;isEditable\&quot;:true,\&quot;label\&quot;:\&quot;rowId\&quot;,\&quot;visible\&quot;:true},{\&quot;fieldName\&quot;:\&quot;expression/FIELD_NAME_U\&quot;,\&quot;isEditable\&quot;:true,\&quot;label\&quot;:\&quot;4,6869\&quot;,\&quot;visible\&quot;:true},{\&quot;fieldName\&quot;:\&quot;expression/FIELD_NAME_V\&quot;,\&quot;isEditable\&quot;:true,\&quot;label\&quot;:\&quot;-74,1144\&quot;,\&quot;visible\&quot;:true}]}],\&quot;expressionInfos\&quot;:[{\&quot;name\&quot;:\&quot;excel_row_id\&quot;,\&quot;title\&quot;:\&quot;rowId\&quot;,\&quot;expression\&quot;:\&quot;Text($feature[\\\&quot;excel_row_id\\\&quot;], \\\&quot;#.##############################\\\&quot;)\&quot;},{\&quot;name\&quot;:\&quot;FIELD_NAME_U\&quot;,\&quot;title\&quot;:\&quot;4,6869\&quot;,\&quot;expression\&quot;:\&quot;// Excel number format: 0.0000\\n\\nif (IsEmpty($feature[\\\&quot;FIELD_NAME_U\\\&quot;]))\\n{\\n  return $feature[\\\&quot;FIELD_NAME_U\\\&quot;] \\n}\\nText($feature[\\\&quot;FIELD_NAME_U\\\&quot;], \\\&quot;#0.0000\\\&quot;)\&quot;},{\&quot;name\&quot;:\&quot;FIELD_NAME_V\&quot;,\&quot;title\&quot;:\&quot;-74,1144\&quot;,\&quot;expression\&quot;:\&quot;// Excel number format: 0.0000\\n\\nif (IsEmpty($feature[\\\&quot;FIELD_NAME_V\\\&quot;]))\\n{\\n  return $feature[\\\&quot;FIELD_NAME_V\\\&quot;] \\n}\\nText($feature[\\\&quot;FIELD_NAME_V\\\&quot;], \\\&quot;#0.0000\\\&quot;)\&quot;}],\&quot;fieldInfos\&quot;:[{\&quot;fieldName\&quot;:\&quot;objectId\&quot;,\&quot;isEditable\&quot;:true,\&quot;label\&quot;:\&quot;objectId\&quot;,\&quot;tooltip\&quot;:\&quot;\&quot;,\&quot;visible\&quot;:false},{\&quot;fieldName\&quot;:\&quot;excel_row_id\&quot;,\&quot;format\&quot;:{\&quot;digitSeparator\&quot;:true,\&quot;places\&quot;:2},\&quot;isEditable\&quot;:true,\&quot;label\&quot;:\&quot;rowId\&quot;,\&quot;tooltip\&quot;:\&quot;\&quot;,\&quot;visible\&quot;:false},{\&quot;fieldName\&quot;:\&quot;expression/excel_row_id\&quot;,\&quot;isEditable\&quot;:true,\&quot;label\&quot;:\&quot;rowId\&quot;,\&quot;visible\&quot;:true},{\&quot;fieldName\&quot;:\&quot;FIELD_NAME_U\&quot;,\&quot;format\&quot;:{\&quot;digitSeparator\&quot;:true,\&quot;places\&quot;:2},\&quot;isEditable\&quot;:true,\&quot;label\&quot;:\&quot;4,6869\&quot;,\&quot;tooltip\&quot;:\&quot;\&quot;,\&quot;visible\&quot;:false},{\&quot;fieldName\&quot;:\&quot;expression/FIELD_NAME_U\&quot;,\&quot;isEditable\&quot;:true,\&quot;label\&quot;:\&quot;4,6869\&quot;,\&quot;visible\&quot;:true},{\&quot;fieldName\&quot;:\&quot;FIELD_NAME_V\&quot;,\&quot;format\&quot;:{\&quot;digitSeparator\&quot;:true,\&quot;places\&quot;:2},\&quot;isEditable\&quot;:true,\&quot;label\&quot;:\&quot;-74,1144\&quot;,\&quot;tooltip\&quot;:\&quot;\&quot;,\&quot;visible\&quot;:false},{\&quot;fieldName\&quot;:\&quot;expression/FIELD_NAME_V\&quot;,\&quot;isEditable\&quot;:true,\&quot;label\&quot;:\&quot;-74,1144\&quot;,\&quot;visible\&quot;:true}],\&quot;title\&quot;:\&quot;\&quot;,\&quot;actions\&quot;:[]},\&quot;effect\&quot;:null,\&quot;layerDefinition\&quot;:{\&quot;objectIdField\&quot;:\&quot;objectId\&quot;,\&quot;fields\&quot;:[{\&quot;alias\&quot;:\&quot;objectId\&quot;,\&quot;editable\&quot;:true,\&quot;name\&quot;:\&quot;objectId\&quot;,\&quot;nullable\&quot;:true,\&quot;type\&quot;:\&quot;esriFieldTypeOID\&quot;},{\&quot;alias\&quot;:\&quot;rowId\&quot;,\&quot;editable\&quot;:true,\&quot;name\&quot;:\&quot;excel_row_id\&quot;,\&quot;nullable\&quot;:true,\&quot;type\&quot;:\&quot;esriFieldTypeDouble\&quot;},{\&quot;alias\&quot;:\&quot;4,6869\&quot;,\&quot;editable\&quot;:true,\&quot;name\&quot;:\&quot;FIELD_NAME_U\&quot;,\&quot;nullable\&quot;:true,\&quot;type\&quot;:\&quot;esriFieldTypeDouble\&quot;},{\&quot;alias\&quot;:\&quot;-74,1144\&quot;,\&quot;editable\&quot;:true,\&quot;name\&quot;:\&quot;FIELD_NAME_V\&quot;,\&quot;nullable\&quot;:true,\&quot;type\&quot;:\&quot;esriFieldTypeDouble\&quot;}],\&quot;geometryType\&quot;:\&quot;point\&quot;,\&quot;drawingInfo\&quot;:{\&quot;renderer\&quot;:{\&quot;type\&quot;:\&quot;simple\&quot;,\&quot;symbol\&quot;:{\&quot;type\&quot;:\&quot;esriSMS\&quot;,\&quot;color\&quot;:[29,111,66,230],\&quot;angle\&quot;:0,\&quot;xoffset\&quot;:0,\&quot;yoffset\&quot;:0,\&quot;size\&quot;:10,\&quot;style\&quot;:\&quot;esriSMSCircle\&quot;,\&quot;outline\&quot;:{\&quot;type\&quot;:\&quot;esriSLS\&quot;,\&quot;color\&quot;:[255,255,255,230],\&quot;width\&quot;:1,\&quot;style\&quot;:\&quot;esriSLSSolid\&quot;}}},\&quot;transparency\&quot;:0},\&quot;featureReduction\&quot;:null,\&quot;locationProvider\&quot;:{\&quot;type\&quot;:\&quot;coordinates\&quot;,\&quot;lookupFields\&quot;:[{\&quot;lookupField\&quot;:\&quot;xFieldName\&quot;,\&quot;outField\&quot;:\&quot;FIELD_NAME_V\&quot;},{\&quot;lookupField\&quot;:\&quot;yFieldName\&quot;,\&quot;outField\&quot;:\&quot;FIELD_NAME_U\&quot;}],\&quot;sourceSR\&quot;:4326,\&quot;targetSR\&quot;:102100},\&quot;minScale\&quot;:0,\&quot;maxScale\&quot;:0,\&quot;definitionExpression\&quot;:null,\&quot;templates\&quot;:[{\&quot;name\&quot;:\&quot;New Feature\&quot;,\&quot;description\&quot;:\&quot;\&quot;,\&quot;prototype\&quot;:{\&quot;attributes\&quot;:{\&quot;excel_row_id\&quot;:null,\&quot;FIELD_NAME_U\&quot;:null,\&quot;FIELD_NAME_V\&quot;:null}}}],\&quot;elevationInfo\&quot;:null,\&quot;name\&quot;:\&quot;'Expansion_2025-11-10-11.35.01'!U2:V74\&quot;,\&quot;type\&quot;:\&quot;DataLayer\&quot;,\&quot;queryParameters\&quot;:{\&quot;tableId\&quot;:\&quot;cellRange-9gU6Q\&quot;}},\&quot;featureSet\&quot;:{\&quot;features\&quot;:[{\&quot;attributes\&quot;:{},\&quot;geometry\&quot;:{\&quot;x\&quot;:0,\&quot;y\&quot;:0,\&quot;type\&quot;:\&quot;point\&quot;,\&quot;spatialReference\&quot;:{\&quot;latestWkid\&quot;:3857,\&quot;wkid\&quot;:102100}}}]}}]}}],\&quot;tables\&quot;:[],\&quot;baseMap\&quot;:{\&quot;baseMapLayers\&quot;:[{\&quot;id\&quot;:\&quot;World_Hillshade_3805\&quot;,\&quot;opacity\&quot;:1,\&quot;title\&quot;:\&quot;Sombreado mundial\&quot;,\&quot;url\&quot;:\&quot;https://services.arcgisonline.com/arcgis/rest/services/Elevation/World_Hillshade/MapServer\&quot;,\&quot;visibility\&quot;:true,\&quot;layerType\&quot;:\&quot;ArcGISTiledMapServiceLayer\&quot;},{\&quot;id\&quot;:\&quot;VectorTile_2333\&quot;,\&quot;opacity\&quot;:1,\&quot;title\&quot;:\&quot;Mapa topográfico mundial\&quot;,\&quot;visibility\&quot;:true,\&quot;layerType\&quot;:\&quot;VectorTileLayer\&quot;,\&quot;styleUrl\&quot;:\&quot;https://cdn.arcgis.com/sharing/rest/content/items/0d27022487ad4e09ae8f274e8d502776/resources/styles/root.json\&quot;}],\&quot;title\&quot;:\&quot;Topográfico\&quot;},\&quot;version\&quot;:\&quot;2.26\&quot;,\&quot;authoringApp\&quot;:\&quot;ArcGIS for Excel\&quot;,\&quot;bookmarks\&quot;:[],\&quot;initialState\&quot;:{\&quot;viewpoint\&quot;:{\&quot;targetGeometry\&quot;:{\&quot;spatialReference\&quot;:{\&quot;latestWkid\&quot;:3857,\&quot;wkid\&quot;:102100},\&quot;xmin\&quot;:-8468353.965953693,\&quot;ymin\&quot;:259625.21508279743,\&quot;xmax\&quot;:-8069658.42641832,\&quot;ymax\&quot;:780619.9998744202}}}}},\&quot;webmapExtensions\&quot;:{\&quot;format\&quot;:2}}}&quot;"/>
    <we:property name="arcgis-connection" value="&quot;{\&quot;portalUrl\&quot;:\&quot;https://www.arcgis.com\&quot;}&quot;"/>
  </we:properties>
  <we:bindings>
    <we:binding id="cellRange-9gU6Q" type="matrix" appref="{D1D96084-D2D0-44CF-A08D-F551EC34CEFB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_xldudf_ARCGIS_REVERSEGEOCODE</we:customFunctionIds>
        <we:customFunctionIds>_xldudf_ARCGIS_GEOCODE</we:customFunctionIds>
        <we:customFunctionIds>_xldudf_ARCGIS_ENRICHBYPOINT</we:customFunctionIds>
        <we:customFunctionIds>_xldudf_ARCGIS_ENRICHBYGEOGRAPHY</we:customFunctionIds>
        <we:customFunctionIds>_xldudf_ARCGIS_ENRICHBYADDRESS</we:customFunctionIds>
        <we:customFunctionIds>_xldudf_ARCGIS_ENRICHBYPOLYGON</we:customFunctionIds>
        <we:customFunctionIds>_xldudf_ARCGIS_FINDROUTEBYCOORDINATES</we:customFunctionIds>
        <we:customFunctionIds>_xldudf_ARCGIS_FINDROUTEBYADDRESS</we:customFunctionIds>
        <we:customFunctionIds>_xldudf_ARCGIS_VERTICESTOESRIJSON</we:customFunctionIds>
        <we:customFunctionIds>_xldudf_ARCGIS_CONVERTTOESRIJSON</we:customFunctionIds>
        <we:customFunctionIds>_xldudf_ARCGIS_GETPOLYGONAREA</we:customFunctionIds>
        <we:customFunctionIds>_xldudf_ARCGIS_GETGEOMETRYLENGTH</we:customFunctionIds>
        <we:customFunctionIds>_xldudf_ARCGIS_GETGEOMETRYDISTANCE</we:customFunctionIds>
        <we:customFunctionIds>_xldudf_ARCGIS_GETCENTROID</we:customFunctionIds>
        <we:customFunctionIds>_xldudf_ARCGIS_RELATEGEOMETRIES</we:customFunctionIds>
        <we:customFunctionIds>_xldudf_ARCGIS_GENERALIZEGEOMETRY</we:customFunctionIds>
        <we:customFunctionIds>_xldudf_ARCGIS_SUGGESTADDRESS</we:customFunctionIds>
        <we:customFunctionIds>_xldudf_ARCGIS_GETGEOMETRY</we:customFunctionIds>
        <we:customFunctionIds>_xldudf_ARCGIS_LISTGEOGRAPHIES</we:customFunctionIds>
        <we:customFunctionIds>_xldudf_ARCGIS_LISTDATACOLLECTIONS</we:customFunctionIds>
        <we:customFunctionIds>_xldudf_ARCGIS_LISTTRAVELMODES</we:customFunctionIds>
        <we:customFunctionIds>_xldudf_ARCGIS_ADDHEADERS</we:customFunctionIds>
        <we:customFunctionIds>_xldudf_ARCGIS_COORDINATETONOTATION</we:customFunctionIds>
        <we:customFunctionIds>_xldudf_ARCGIS_COORDINATEFROMNOTATION</we:customFunctionIds>
        <we:customFunctionIds>_xldudf_ARCGIS_PROJECTPOINT</we:customFunctionIds>
        <we:customFunctionIds>_xldudf_ARCGIS_PROJECTGEOMETRY</we:customFunctionIds>
      </we:customFunctionIdList>
    </a:ext>
    <a:ext xmlns:a="http://schemas.openxmlformats.org/drawingml/2006/main" uri="{0858819E-0033-43BF-8937-05EC82904868}">
      <we:backgroundApp state="1" runtimeId="Esri.TaskPane.Url"/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aps.app.goo.gl/ZgYr7gZUWwWBfsNb6?g_st=ic" TargetMode="External"/><Relationship Id="rId13" Type="http://schemas.openxmlformats.org/officeDocument/2006/relationships/hyperlink" Target="https://maps.app.goo.gl/FbPpk8UWb766FAqY8?g_st=ic" TargetMode="External"/><Relationship Id="rId3" Type="http://schemas.openxmlformats.org/officeDocument/2006/relationships/hyperlink" Target="https://maps.app.goo.gl/cyi7f3fML7fKbAXTA" TargetMode="External"/><Relationship Id="rId7" Type="http://schemas.openxmlformats.org/officeDocument/2006/relationships/hyperlink" Target="https://maps.app.goo.gl/a95PSeawc8zDeAyD7" TargetMode="External"/><Relationship Id="rId12" Type="http://schemas.openxmlformats.org/officeDocument/2006/relationships/hyperlink" Target="https://maps.app.goo.gl/37dHFgR4RCV1TvPe8?g_st=ic" TargetMode="External"/><Relationship Id="rId17" Type="http://schemas.openxmlformats.org/officeDocument/2006/relationships/hyperlink" Target="https://maps.app.goo.gl/qaYbvGnqLY1HZztv8" TargetMode="External"/><Relationship Id="rId2" Type="http://schemas.openxmlformats.org/officeDocument/2006/relationships/hyperlink" Target="https://maps.app.goo.gl/RdznzFN8oeXt4BzY8?g_st=iw" TargetMode="External"/><Relationship Id="rId16" Type="http://schemas.openxmlformats.org/officeDocument/2006/relationships/hyperlink" Target="https://maps.app.goo.gl/XKjbjeAS9omZeFTB7?g_st=iw" TargetMode="External"/><Relationship Id="rId1" Type="http://schemas.openxmlformats.org/officeDocument/2006/relationships/hyperlink" Target="https://maps.app.goo.gl/ARHY4pjoMEGefriy5?g_st=iw" TargetMode="External"/><Relationship Id="rId6" Type="http://schemas.openxmlformats.org/officeDocument/2006/relationships/hyperlink" Target="https://maps.app.goo.gl/ZQgrkgw8KHzSeLA8A?g_st=iw" TargetMode="External"/><Relationship Id="rId11" Type="http://schemas.openxmlformats.org/officeDocument/2006/relationships/hyperlink" Target="https://maps.app.goo.gl/uNEnpfgoDAbeptMD7?g_st=ac" TargetMode="External"/><Relationship Id="rId5" Type="http://schemas.openxmlformats.org/officeDocument/2006/relationships/hyperlink" Target="mailto:memito-palacio@hotmail.com" TargetMode="External"/><Relationship Id="rId15" Type="http://schemas.openxmlformats.org/officeDocument/2006/relationships/hyperlink" Target="https://maps.app.goo.gl/9rC2X5676JGMq3sp8?g_st=iw" TargetMode="External"/><Relationship Id="rId10" Type="http://schemas.openxmlformats.org/officeDocument/2006/relationships/hyperlink" Target="https://maps.app.goo.gl/2TZH47f4N86NTjSb6?g_st=ic" TargetMode="External"/><Relationship Id="rId4" Type="http://schemas.openxmlformats.org/officeDocument/2006/relationships/hyperlink" Target="https://maps.app.goo.gl/QBWShgaJxsi6X6WG7" TargetMode="External"/><Relationship Id="rId9" Type="http://schemas.openxmlformats.org/officeDocument/2006/relationships/hyperlink" Target="https://maps.app.goo.gl/roHspvGqX4kLWBoAA?g_st=ic" TargetMode="External"/><Relationship Id="rId14" Type="http://schemas.openxmlformats.org/officeDocument/2006/relationships/hyperlink" Target="https://goo.gl/maps/hD1QaqZei8hNKnUy5?g_st=aw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oxxo-colombia.oneapp.cl/static/img/Respuesta/61169766/f54fac2058f1766ffdba08335c6507cb.jpg" TargetMode="External"/><Relationship Id="rId2" Type="http://schemas.openxmlformats.org/officeDocument/2006/relationships/hyperlink" Target="https://oxxo-colombia.oneapp.cl/static/img/Respuesta/61169370/24c75b247668933e2e747b48308fcb1e.jpg" TargetMode="External"/><Relationship Id="rId1" Type="http://schemas.openxmlformats.org/officeDocument/2006/relationships/hyperlink" Target="https://oxxo-colombia.oneapp.cl/static/img/Respuesta/61167871/5160fe0041f643f0e720405bccddf42c.jpg" TargetMode="External"/><Relationship Id="rId4" Type="http://schemas.openxmlformats.org/officeDocument/2006/relationships/hyperlink" Target="https://oxxo-colombia.oneapp.cl/static/img/Respuesta/61174941/ce28ceab02b85d03b664deed5b0055e3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9F202-4214-4BA7-8AEF-C4DBB6400BB1}">
  <sheetPr codeName="Hoja1"/>
  <dimension ref="A1:AA34"/>
  <sheetViews>
    <sheetView showGridLines="0" tabSelected="1" zoomScale="84" zoomScaleNormal="93" workbookViewId="0">
      <pane xSplit="2" ySplit="1" topLeftCell="D5" activePane="bottomRight" state="frozen"/>
      <selection pane="topRight" activeCell="C1" sqref="C1"/>
      <selection pane="bottomLeft" activeCell="A2" sqref="A2"/>
      <selection pane="bottomRight" activeCell="K12" sqref="K12"/>
    </sheetView>
  </sheetViews>
  <sheetFormatPr baseColWidth="10" defaultColWidth="11.453125" defaultRowHeight="14.5" x14ac:dyDescent="0.35"/>
  <cols>
    <col min="1" max="1" width="8.26953125" bestFit="1" customWidth="1"/>
    <col min="2" max="2" width="17.453125" bestFit="1" customWidth="1"/>
    <col min="3" max="3" width="11.26953125" bestFit="1" customWidth="1"/>
    <col min="4" max="4" width="30" customWidth="1"/>
    <col min="5" max="5" width="11.81640625" customWidth="1"/>
    <col min="6" max="6" width="5.453125" bestFit="1" customWidth="1"/>
    <col min="7" max="7" width="5.1796875" bestFit="1" customWidth="1"/>
    <col min="8" max="8" width="4.54296875" bestFit="1" customWidth="1"/>
    <col min="9" max="9" width="8.453125" customWidth="1"/>
    <col min="10" max="10" width="10.453125" bestFit="1" customWidth="1"/>
    <col min="11" max="11" width="10.453125" customWidth="1"/>
    <col min="12" max="12" width="18.1796875" bestFit="1" customWidth="1"/>
    <col min="13" max="35" width="18.1796875" customWidth="1"/>
    <col min="36" max="36" width="8" customWidth="1"/>
    <col min="37" max="37" width="35.1796875" bestFit="1" customWidth="1"/>
    <col min="38" max="38" width="25" bestFit="1" customWidth="1"/>
    <col min="39" max="39" width="24.81640625" bestFit="1" customWidth="1"/>
    <col min="40" max="40" width="98.7265625" customWidth="1"/>
    <col min="44" max="44" width="11.54296875" bestFit="1" customWidth="1"/>
    <col min="45" max="45" width="19.54296875" bestFit="1" customWidth="1"/>
  </cols>
  <sheetData>
    <row r="1" spans="1:27" ht="43.5" x14ac:dyDescent="0.35">
      <c r="A1" s="25" t="s">
        <v>0</v>
      </c>
      <c r="B1" s="25" t="s">
        <v>1</v>
      </c>
      <c r="C1" s="25" t="s">
        <v>2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</v>
      </c>
      <c r="J1" s="25" t="s">
        <v>9</v>
      </c>
      <c r="K1" s="31" t="s">
        <v>10</v>
      </c>
      <c r="L1" s="25" t="s">
        <v>11</v>
      </c>
      <c r="M1" s="25" t="s">
        <v>12</v>
      </c>
      <c r="N1" s="25" t="s">
        <v>13</v>
      </c>
      <c r="O1" s="25" t="s">
        <v>14</v>
      </c>
      <c r="P1" s="25" t="s">
        <v>15</v>
      </c>
      <c r="Q1" s="25" t="s">
        <v>16</v>
      </c>
      <c r="R1" s="25" t="s">
        <v>17</v>
      </c>
      <c r="S1" s="25" t="s">
        <v>18</v>
      </c>
      <c r="T1" s="25" t="s">
        <v>19</v>
      </c>
      <c r="U1" s="25" t="s">
        <v>20</v>
      </c>
      <c r="V1" s="2" t="s">
        <v>21</v>
      </c>
      <c r="W1" s="2" t="s">
        <v>7</v>
      </c>
      <c r="X1" s="2" t="s">
        <v>6</v>
      </c>
      <c r="Y1" s="2" t="s">
        <v>22</v>
      </c>
      <c r="Z1" s="2" t="s">
        <v>23</v>
      </c>
      <c r="AA1" s="2" t="s">
        <v>24</v>
      </c>
    </row>
    <row r="2" spans="1:27" ht="32.15" customHeight="1" x14ac:dyDescent="0.35">
      <c r="A2" s="26">
        <v>3649217</v>
      </c>
      <c r="B2" s="26" t="s">
        <v>25</v>
      </c>
      <c r="C2" s="26" t="s">
        <v>26</v>
      </c>
      <c r="D2" s="26" t="s">
        <v>27</v>
      </c>
      <c r="E2" s="26" t="s">
        <v>27</v>
      </c>
      <c r="F2" s="26" t="s">
        <v>28</v>
      </c>
      <c r="G2" s="26">
        <v>2026</v>
      </c>
      <c r="H2" s="26" t="s">
        <v>29</v>
      </c>
      <c r="I2" s="26" t="s">
        <v>30</v>
      </c>
      <c r="J2" s="26" t="s">
        <v>31</v>
      </c>
      <c r="K2" s="26"/>
      <c r="L2" s="26" t="s">
        <v>32</v>
      </c>
      <c r="M2" s="26" t="s">
        <v>33</v>
      </c>
      <c r="N2" s="26" t="s">
        <v>34</v>
      </c>
      <c r="O2" s="26" t="s">
        <v>35</v>
      </c>
      <c r="P2" s="26" t="s">
        <v>36</v>
      </c>
      <c r="Q2" s="26" t="s">
        <v>37</v>
      </c>
      <c r="R2" s="26" t="s">
        <v>38</v>
      </c>
      <c r="S2" s="26" t="s">
        <v>39</v>
      </c>
      <c r="T2" s="26" t="s">
        <v>40</v>
      </c>
      <c r="U2" s="26" t="s">
        <v>41</v>
      </c>
      <c r="V2">
        <f>WEEKNUM(E2)</f>
        <v>29</v>
      </c>
      <c r="W2">
        <f>MONTH(E2)</f>
        <v>7</v>
      </c>
      <c r="X2">
        <f>YEAR(E2)</f>
        <v>2026</v>
      </c>
      <c r="Y2" t="str">
        <f>_xlfn.CONCAT(V2,"-",X2)</f>
        <v>29-2026</v>
      </c>
      <c r="Z2" t="s">
        <v>42</v>
      </c>
    </row>
    <row r="3" spans="1:27" ht="32.15" customHeight="1" x14ac:dyDescent="0.35">
      <c r="A3" s="29">
        <v>3649249</v>
      </c>
      <c r="B3" s="26" t="s">
        <v>43</v>
      </c>
      <c r="C3" s="26" t="s">
        <v>44</v>
      </c>
      <c r="D3" s="26" t="s">
        <v>27</v>
      </c>
      <c r="E3" s="26" t="s">
        <v>27</v>
      </c>
      <c r="F3" s="26" t="s">
        <v>45</v>
      </c>
      <c r="G3" s="26">
        <v>2026</v>
      </c>
      <c r="H3" s="26" t="s">
        <v>29</v>
      </c>
      <c r="I3" s="26" t="s">
        <v>30</v>
      </c>
      <c r="J3" s="26" t="s">
        <v>46</v>
      </c>
      <c r="K3" s="26"/>
      <c r="L3" s="26" t="s">
        <v>47</v>
      </c>
      <c r="M3" s="26" t="s">
        <v>48</v>
      </c>
      <c r="N3" s="26" t="s">
        <v>49</v>
      </c>
      <c r="O3" s="26" t="s">
        <v>50</v>
      </c>
      <c r="P3" s="26" t="s">
        <v>36</v>
      </c>
      <c r="Q3" s="26" t="s">
        <v>37</v>
      </c>
      <c r="R3" s="26" t="s">
        <v>38</v>
      </c>
      <c r="S3" s="26" t="s">
        <v>51</v>
      </c>
      <c r="T3" s="26">
        <v>3007751069</v>
      </c>
      <c r="U3" s="26" t="s">
        <v>52</v>
      </c>
      <c r="V3">
        <f t="shared" ref="V3:V34" si="0">WEEKNUM(E3)</f>
        <v>29</v>
      </c>
      <c r="W3">
        <f t="shared" ref="W3:W34" si="1">MONTH(E3)</f>
        <v>7</v>
      </c>
      <c r="X3">
        <f t="shared" ref="X3:X34" si="2">YEAR(E3)</f>
        <v>2026</v>
      </c>
      <c r="Y3" t="str">
        <f t="shared" ref="Y3:Y34" si="3">_xlfn.CONCAT(V3,"-",X3)</f>
        <v>29-2026</v>
      </c>
      <c r="Z3" t="s">
        <v>53</v>
      </c>
    </row>
    <row r="4" spans="1:27" ht="32.15" customHeight="1" x14ac:dyDescent="0.35">
      <c r="A4" s="26">
        <v>3649241</v>
      </c>
      <c r="B4" s="26" t="s">
        <v>25</v>
      </c>
      <c r="C4" s="26" t="s">
        <v>26</v>
      </c>
      <c r="D4" s="26" t="s">
        <v>27</v>
      </c>
      <c r="E4" s="26" t="s">
        <v>27</v>
      </c>
      <c r="F4" s="26" t="s">
        <v>54</v>
      </c>
      <c r="G4" s="26">
        <v>2026</v>
      </c>
      <c r="H4" s="26" t="s">
        <v>29</v>
      </c>
      <c r="I4" s="26" t="s">
        <v>30</v>
      </c>
      <c r="J4" s="26" t="s">
        <v>31</v>
      </c>
      <c r="K4" s="26"/>
      <c r="L4" s="26" t="s">
        <v>32</v>
      </c>
      <c r="M4" s="26" t="s">
        <v>33</v>
      </c>
      <c r="N4" s="26" t="s">
        <v>55</v>
      </c>
      <c r="O4" s="26" t="s">
        <v>56</v>
      </c>
      <c r="P4" s="26" t="s">
        <v>36</v>
      </c>
      <c r="Q4" s="26" t="s">
        <v>37</v>
      </c>
      <c r="R4" s="26" t="s">
        <v>57</v>
      </c>
      <c r="S4" s="26">
        <v>3115620222</v>
      </c>
      <c r="T4" s="26" t="s">
        <v>58</v>
      </c>
      <c r="U4" s="26" t="s">
        <v>59</v>
      </c>
      <c r="V4">
        <f t="shared" si="0"/>
        <v>29</v>
      </c>
      <c r="W4">
        <f t="shared" si="1"/>
        <v>7</v>
      </c>
      <c r="X4">
        <f t="shared" si="2"/>
        <v>2026</v>
      </c>
      <c r="Y4" t="str">
        <f t="shared" si="3"/>
        <v>29-2026</v>
      </c>
      <c r="Z4" t="s">
        <v>42</v>
      </c>
    </row>
    <row r="5" spans="1:27" ht="32.15" customHeight="1" x14ac:dyDescent="0.35">
      <c r="A5" s="26">
        <v>3649264</v>
      </c>
      <c r="B5" s="26" t="s">
        <v>60</v>
      </c>
      <c r="C5" s="26" t="s">
        <v>61</v>
      </c>
      <c r="D5" s="26" t="s">
        <v>27</v>
      </c>
      <c r="E5" s="26" t="s">
        <v>27</v>
      </c>
      <c r="F5" s="26" t="s">
        <v>54</v>
      </c>
      <c r="G5" s="26">
        <v>2026</v>
      </c>
      <c r="H5" s="26" t="s">
        <v>29</v>
      </c>
      <c r="I5" s="26" t="s">
        <v>30</v>
      </c>
      <c r="J5" s="26" t="s">
        <v>62</v>
      </c>
      <c r="K5" s="26"/>
      <c r="L5" s="26" t="s">
        <v>63</v>
      </c>
      <c r="M5" s="26" t="s">
        <v>64</v>
      </c>
      <c r="N5" s="26" t="s">
        <v>65</v>
      </c>
      <c r="O5" s="26" t="s">
        <v>66</v>
      </c>
      <c r="P5" s="26" t="s">
        <v>67</v>
      </c>
      <c r="Q5" s="26" t="s">
        <v>37</v>
      </c>
      <c r="R5" s="26" t="s">
        <v>68</v>
      </c>
      <c r="S5" s="26" t="s">
        <v>69</v>
      </c>
      <c r="T5" s="26" t="s">
        <v>69</v>
      </c>
      <c r="U5" s="26" t="s">
        <v>70</v>
      </c>
      <c r="V5">
        <f t="shared" si="0"/>
        <v>29</v>
      </c>
      <c r="W5">
        <f t="shared" si="1"/>
        <v>7</v>
      </c>
      <c r="X5">
        <f t="shared" si="2"/>
        <v>2026</v>
      </c>
      <c r="Y5" t="str">
        <f t="shared" si="3"/>
        <v>29-2026</v>
      </c>
      <c r="Z5" t="s">
        <v>42</v>
      </c>
    </row>
    <row r="6" spans="1:27" ht="32.15" customHeight="1" x14ac:dyDescent="0.35">
      <c r="A6" s="26">
        <v>3649288</v>
      </c>
      <c r="B6" s="26" t="s">
        <v>71</v>
      </c>
      <c r="C6" s="26" t="s">
        <v>72</v>
      </c>
      <c r="D6" s="26" t="s">
        <v>27</v>
      </c>
      <c r="E6" s="26" t="s">
        <v>27</v>
      </c>
      <c r="F6" s="26" t="s">
        <v>73</v>
      </c>
      <c r="G6" s="26">
        <v>2026</v>
      </c>
      <c r="H6" s="26" t="s">
        <v>29</v>
      </c>
      <c r="I6" s="26" t="s">
        <v>30</v>
      </c>
      <c r="J6" s="26" t="s">
        <v>74</v>
      </c>
      <c r="K6" s="26"/>
      <c r="L6" s="26" t="s">
        <v>32</v>
      </c>
      <c r="M6" s="26" t="s">
        <v>33</v>
      </c>
      <c r="N6" s="26" t="s">
        <v>75</v>
      </c>
      <c r="O6" s="30" t="s">
        <v>76</v>
      </c>
      <c r="P6" s="26" t="s">
        <v>36</v>
      </c>
      <c r="Q6" s="26" t="s">
        <v>37</v>
      </c>
      <c r="R6" s="26" t="s">
        <v>38</v>
      </c>
      <c r="S6" s="26">
        <v>3103340792</v>
      </c>
      <c r="T6" s="26" t="s">
        <v>77</v>
      </c>
      <c r="U6" s="26" t="s">
        <v>78</v>
      </c>
      <c r="V6">
        <f t="shared" si="0"/>
        <v>29</v>
      </c>
      <c r="W6">
        <f t="shared" si="1"/>
        <v>7</v>
      </c>
      <c r="X6">
        <f t="shared" si="2"/>
        <v>2026</v>
      </c>
      <c r="Y6" t="str">
        <f t="shared" si="3"/>
        <v>29-2026</v>
      </c>
      <c r="Z6" t="s">
        <v>53</v>
      </c>
    </row>
    <row r="7" spans="1:27" ht="32.15" customHeight="1" x14ac:dyDescent="0.35">
      <c r="A7" s="26">
        <v>3649297</v>
      </c>
      <c r="B7" s="26" t="s">
        <v>71</v>
      </c>
      <c r="C7" s="26" t="s">
        <v>72</v>
      </c>
      <c r="D7" s="26" t="s">
        <v>27</v>
      </c>
      <c r="E7" s="26" t="s">
        <v>27</v>
      </c>
      <c r="F7" s="26" t="s">
        <v>79</v>
      </c>
      <c r="G7" s="26">
        <v>2026</v>
      </c>
      <c r="H7" s="26" t="s">
        <v>29</v>
      </c>
      <c r="I7" s="26" t="s">
        <v>30</v>
      </c>
      <c r="J7" s="26" t="s">
        <v>80</v>
      </c>
      <c r="K7" s="26"/>
      <c r="L7" s="26" t="s">
        <v>32</v>
      </c>
      <c r="M7" s="26" t="s">
        <v>33</v>
      </c>
      <c r="N7" s="26" t="s">
        <v>81</v>
      </c>
      <c r="O7" s="30" t="s">
        <v>82</v>
      </c>
      <c r="P7" s="26" t="s">
        <v>36</v>
      </c>
      <c r="Q7" s="26" t="s">
        <v>37</v>
      </c>
      <c r="R7" s="26" t="s">
        <v>38</v>
      </c>
      <c r="S7" s="26">
        <v>3004550101</v>
      </c>
      <c r="T7" s="26" t="s">
        <v>83</v>
      </c>
      <c r="U7" s="26" t="s">
        <v>84</v>
      </c>
      <c r="V7">
        <f t="shared" si="0"/>
        <v>29</v>
      </c>
      <c r="W7">
        <f t="shared" si="1"/>
        <v>7</v>
      </c>
      <c r="X7">
        <f t="shared" si="2"/>
        <v>2026</v>
      </c>
      <c r="Y7" t="str">
        <f t="shared" si="3"/>
        <v>29-2026</v>
      </c>
      <c r="Z7" t="s">
        <v>53</v>
      </c>
    </row>
    <row r="8" spans="1:27" ht="32.15" customHeight="1" x14ac:dyDescent="0.35">
      <c r="A8" s="26">
        <v>3649449</v>
      </c>
      <c r="B8" s="26" t="s">
        <v>85</v>
      </c>
      <c r="C8" s="26" t="s">
        <v>86</v>
      </c>
      <c r="D8" s="26" t="s">
        <v>27</v>
      </c>
      <c r="E8" s="26" t="s">
        <v>27</v>
      </c>
      <c r="F8" s="26" t="s">
        <v>87</v>
      </c>
      <c r="G8" s="26">
        <v>2026</v>
      </c>
      <c r="H8" s="26" t="s">
        <v>29</v>
      </c>
      <c r="I8" s="26" t="s">
        <v>30</v>
      </c>
      <c r="J8" s="26" t="s">
        <v>88</v>
      </c>
      <c r="K8" s="26"/>
      <c r="L8" s="26" t="s">
        <v>63</v>
      </c>
      <c r="M8" s="26" t="s">
        <v>64</v>
      </c>
      <c r="N8" s="26" t="s">
        <v>89</v>
      </c>
      <c r="O8" s="30" t="s">
        <v>90</v>
      </c>
      <c r="P8" s="26" t="s">
        <v>67</v>
      </c>
      <c r="Q8" s="26" t="s">
        <v>37</v>
      </c>
      <c r="R8" s="26" t="s">
        <v>38</v>
      </c>
      <c r="S8" s="26" t="s">
        <v>91</v>
      </c>
      <c r="T8" s="26" t="s">
        <v>92</v>
      </c>
      <c r="U8" s="26" t="s">
        <v>93</v>
      </c>
      <c r="V8">
        <f t="shared" si="0"/>
        <v>29</v>
      </c>
      <c r="W8">
        <f t="shared" si="1"/>
        <v>7</v>
      </c>
      <c r="X8">
        <f t="shared" si="2"/>
        <v>2026</v>
      </c>
      <c r="Y8" t="str">
        <f t="shared" si="3"/>
        <v>29-2026</v>
      </c>
    </row>
    <row r="9" spans="1:27" ht="32.15" customHeight="1" x14ac:dyDescent="0.35">
      <c r="A9" s="26">
        <v>3649582</v>
      </c>
      <c r="B9" s="26" t="s">
        <v>85</v>
      </c>
      <c r="C9" s="26" t="s">
        <v>86</v>
      </c>
      <c r="D9" s="26" t="s">
        <v>27</v>
      </c>
      <c r="E9" s="26" t="s">
        <v>27</v>
      </c>
      <c r="F9" s="26" t="s">
        <v>94</v>
      </c>
      <c r="G9" s="26">
        <v>2026</v>
      </c>
      <c r="H9" s="26" t="s">
        <v>29</v>
      </c>
      <c r="I9" s="26" t="s">
        <v>30</v>
      </c>
      <c r="J9" s="26" t="s">
        <v>95</v>
      </c>
      <c r="K9" s="26"/>
      <c r="L9" s="26" t="s">
        <v>63</v>
      </c>
      <c r="M9" s="26" t="s">
        <v>64</v>
      </c>
      <c r="N9" s="26" t="s">
        <v>96</v>
      </c>
      <c r="O9" s="30" t="s">
        <v>97</v>
      </c>
      <c r="P9" s="26" t="s">
        <v>36</v>
      </c>
      <c r="Q9" s="26" t="s">
        <v>98</v>
      </c>
      <c r="R9" s="26" t="s">
        <v>99</v>
      </c>
      <c r="S9" s="26" t="s">
        <v>100</v>
      </c>
      <c r="T9" s="30" t="s">
        <v>101</v>
      </c>
      <c r="U9" s="26" t="s">
        <v>102</v>
      </c>
      <c r="V9">
        <f t="shared" si="0"/>
        <v>29</v>
      </c>
      <c r="W9">
        <f t="shared" si="1"/>
        <v>7</v>
      </c>
      <c r="X9">
        <f t="shared" si="2"/>
        <v>2026</v>
      </c>
      <c r="Y9" t="str">
        <f t="shared" si="3"/>
        <v>29-2026</v>
      </c>
      <c r="Z9" t="s">
        <v>53</v>
      </c>
    </row>
    <row r="10" spans="1:27" ht="32.15" customHeight="1" x14ac:dyDescent="0.35">
      <c r="A10" s="26">
        <v>3649592</v>
      </c>
      <c r="B10" s="26" t="s">
        <v>103</v>
      </c>
      <c r="C10" s="26" t="s">
        <v>104</v>
      </c>
      <c r="D10" s="26" t="s">
        <v>27</v>
      </c>
      <c r="E10" s="26" t="s">
        <v>27</v>
      </c>
      <c r="F10" s="26" t="s">
        <v>105</v>
      </c>
      <c r="G10" s="26">
        <v>2026</v>
      </c>
      <c r="H10" s="26" t="s">
        <v>29</v>
      </c>
      <c r="I10" s="26" t="s">
        <v>30</v>
      </c>
      <c r="J10" s="26" t="s">
        <v>106</v>
      </c>
      <c r="K10" s="26"/>
      <c r="L10" s="26" t="s">
        <v>63</v>
      </c>
      <c r="M10" s="26" t="s">
        <v>64</v>
      </c>
      <c r="N10" s="26" t="s">
        <v>107</v>
      </c>
      <c r="O10" s="30" t="s">
        <v>108</v>
      </c>
      <c r="P10" s="26" t="s">
        <v>36</v>
      </c>
      <c r="Q10" s="26" t="s">
        <v>37</v>
      </c>
      <c r="R10" s="26" t="s">
        <v>38</v>
      </c>
      <c r="S10" s="26">
        <v>3009121600</v>
      </c>
      <c r="T10" s="26" t="s">
        <v>109</v>
      </c>
      <c r="U10" s="26" t="s">
        <v>110</v>
      </c>
      <c r="V10">
        <f t="shared" si="0"/>
        <v>29</v>
      </c>
      <c r="W10">
        <f t="shared" si="1"/>
        <v>7</v>
      </c>
      <c r="X10">
        <f t="shared" si="2"/>
        <v>2026</v>
      </c>
      <c r="Y10" t="str">
        <f t="shared" si="3"/>
        <v>29-2026</v>
      </c>
      <c r="Z10" t="s">
        <v>53</v>
      </c>
    </row>
    <row r="11" spans="1:27" ht="32.15" customHeight="1" x14ac:dyDescent="0.35">
      <c r="A11" s="26">
        <v>3649609</v>
      </c>
      <c r="B11" s="26" t="s">
        <v>111</v>
      </c>
      <c r="C11" s="26" t="s">
        <v>112</v>
      </c>
      <c r="D11" s="26" t="s">
        <v>27</v>
      </c>
      <c r="E11" s="26" t="s">
        <v>27</v>
      </c>
      <c r="F11" s="26" t="s">
        <v>113</v>
      </c>
      <c r="G11" s="26">
        <v>2026</v>
      </c>
      <c r="H11" s="26" t="s">
        <v>29</v>
      </c>
      <c r="I11" s="26" t="s">
        <v>30</v>
      </c>
      <c r="J11" s="26" t="s">
        <v>114</v>
      </c>
      <c r="K11" s="26"/>
      <c r="L11" s="26" t="s">
        <v>32</v>
      </c>
      <c r="M11" s="26" t="s">
        <v>115</v>
      </c>
      <c r="N11" s="26" t="s">
        <v>116</v>
      </c>
      <c r="O11" s="30" t="s">
        <v>117</v>
      </c>
      <c r="P11" s="26" t="s">
        <v>67</v>
      </c>
      <c r="Q11" s="26" t="s">
        <v>37</v>
      </c>
      <c r="R11" s="26" t="s">
        <v>118</v>
      </c>
      <c r="S11" s="26">
        <v>3104257782</v>
      </c>
      <c r="T11" s="26" t="s">
        <v>119</v>
      </c>
      <c r="U11" s="26" t="s">
        <v>120</v>
      </c>
      <c r="V11">
        <f t="shared" si="0"/>
        <v>29</v>
      </c>
      <c r="W11">
        <f t="shared" si="1"/>
        <v>7</v>
      </c>
      <c r="X11">
        <f t="shared" si="2"/>
        <v>2026</v>
      </c>
      <c r="Y11" t="str">
        <f t="shared" si="3"/>
        <v>29-2026</v>
      </c>
      <c r="Z11" t="s">
        <v>53</v>
      </c>
    </row>
    <row r="12" spans="1:27" ht="32.15" customHeight="1" x14ac:dyDescent="0.35">
      <c r="A12" s="26">
        <v>3652749</v>
      </c>
      <c r="B12" s="26" t="s">
        <v>121</v>
      </c>
      <c r="C12" s="26" t="s">
        <v>122</v>
      </c>
      <c r="D12" s="26" t="s">
        <v>123</v>
      </c>
      <c r="E12" s="26" t="s">
        <v>123</v>
      </c>
      <c r="F12" s="26" t="s">
        <v>124</v>
      </c>
      <c r="G12" s="26">
        <v>2026</v>
      </c>
      <c r="H12" s="26" t="s">
        <v>29</v>
      </c>
      <c r="I12" s="26" t="s">
        <v>30</v>
      </c>
      <c r="J12" s="26" t="s">
        <v>125</v>
      </c>
      <c r="K12" s="26" t="s">
        <v>126</v>
      </c>
      <c r="L12" s="26" t="s">
        <v>32</v>
      </c>
      <c r="M12" s="26" t="s">
        <v>33</v>
      </c>
      <c r="N12" s="26" t="s">
        <v>127</v>
      </c>
      <c r="O12" s="30" t="s">
        <v>128</v>
      </c>
      <c r="P12" s="26" t="s">
        <v>67</v>
      </c>
      <c r="Q12" s="26" t="s">
        <v>37</v>
      </c>
      <c r="R12" s="26" t="s">
        <v>38</v>
      </c>
      <c r="S12" s="26">
        <v>3112914286</v>
      </c>
      <c r="T12" s="26" t="s">
        <v>129</v>
      </c>
      <c r="U12" s="26" t="s">
        <v>130</v>
      </c>
      <c r="V12">
        <f t="shared" si="0"/>
        <v>29</v>
      </c>
      <c r="W12">
        <f t="shared" si="1"/>
        <v>7</v>
      </c>
      <c r="X12">
        <f t="shared" si="2"/>
        <v>2026</v>
      </c>
      <c r="Y12" t="str">
        <f t="shared" si="3"/>
        <v>29-2026</v>
      </c>
      <c r="Z12" t="s">
        <v>53</v>
      </c>
    </row>
    <row r="13" spans="1:27" ht="32.15" customHeight="1" x14ac:dyDescent="0.35">
      <c r="A13" s="26">
        <v>3652752</v>
      </c>
      <c r="B13" s="26" t="s">
        <v>121</v>
      </c>
      <c r="C13" s="26" t="s">
        <v>122</v>
      </c>
      <c r="D13" s="26" t="s">
        <v>123</v>
      </c>
      <c r="E13" s="26" t="s">
        <v>123</v>
      </c>
      <c r="F13" s="26" t="s">
        <v>131</v>
      </c>
      <c r="G13" s="26">
        <v>2026</v>
      </c>
      <c r="H13" s="26" t="s">
        <v>29</v>
      </c>
      <c r="I13" s="26" t="s">
        <v>30</v>
      </c>
      <c r="J13" s="26" t="s">
        <v>132</v>
      </c>
      <c r="K13" s="26" t="s">
        <v>133</v>
      </c>
      <c r="L13" s="26" t="s">
        <v>32</v>
      </c>
      <c r="M13" s="26" t="s">
        <v>33</v>
      </c>
      <c r="N13" s="26" t="s">
        <v>134</v>
      </c>
      <c r="O13" s="30" t="s">
        <v>135</v>
      </c>
      <c r="P13" s="26" t="s">
        <v>67</v>
      </c>
      <c r="Q13" s="26" t="s">
        <v>98</v>
      </c>
      <c r="R13" s="26" t="s">
        <v>38</v>
      </c>
      <c r="S13" s="26">
        <v>3112034494</v>
      </c>
      <c r="T13" s="26" t="s">
        <v>129</v>
      </c>
      <c r="U13" s="26" t="s">
        <v>136</v>
      </c>
      <c r="V13">
        <f t="shared" si="0"/>
        <v>29</v>
      </c>
      <c r="W13">
        <f t="shared" si="1"/>
        <v>7</v>
      </c>
      <c r="X13">
        <f t="shared" si="2"/>
        <v>2026</v>
      </c>
      <c r="Y13" t="str">
        <f t="shared" si="3"/>
        <v>29-2026</v>
      </c>
      <c r="Z13" t="s">
        <v>53</v>
      </c>
    </row>
    <row r="14" spans="1:27" ht="32.15" customHeight="1" x14ac:dyDescent="0.35">
      <c r="A14" s="26">
        <v>3652756</v>
      </c>
      <c r="B14" s="26" t="s">
        <v>121</v>
      </c>
      <c r="C14" s="26" t="s">
        <v>122</v>
      </c>
      <c r="D14" s="26" t="s">
        <v>123</v>
      </c>
      <c r="E14" s="26" t="s">
        <v>123</v>
      </c>
      <c r="F14" s="26" t="s">
        <v>137</v>
      </c>
      <c r="G14" s="26">
        <v>2026</v>
      </c>
      <c r="H14" s="26" t="s">
        <v>29</v>
      </c>
      <c r="I14" s="26" t="s">
        <v>30</v>
      </c>
      <c r="J14" s="26" t="s">
        <v>138</v>
      </c>
      <c r="K14" s="26" t="s">
        <v>139</v>
      </c>
      <c r="L14" s="26" t="s">
        <v>32</v>
      </c>
      <c r="M14" s="26" t="s">
        <v>33</v>
      </c>
      <c r="N14" s="26" t="s">
        <v>140</v>
      </c>
      <c r="O14" s="30" t="s">
        <v>141</v>
      </c>
      <c r="P14" s="26" t="s">
        <v>67</v>
      </c>
      <c r="Q14" s="26" t="s">
        <v>98</v>
      </c>
      <c r="R14" s="26" t="s">
        <v>38</v>
      </c>
      <c r="S14" s="26">
        <v>3114910947</v>
      </c>
      <c r="T14" s="26" t="s">
        <v>142</v>
      </c>
      <c r="U14" s="26" t="s">
        <v>143</v>
      </c>
      <c r="V14">
        <f t="shared" si="0"/>
        <v>29</v>
      </c>
      <c r="W14">
        <f t="shared" si="1"/>
        <v>7</v>
      </c>
      <c r="X14">
        <f t="shared" si="2"/>
        <v>2026</v>
      </c>
      <c r="Y14" t="str">
        <f t="shared" si="3"/>
        <v>29-2026</v>
      </c>
      <c r="Z14" t="s">
        <v>53</v>
      </c>
    </row>
    <row r="15" spans="1:27" ht="32.15" customHeight="1" x14ac:dyDescent="0.35">
      <c r="A15" s="26">
        <v>3652790</v>
      </c>
      <c r="B15" s="26" t="s">
        <v>144</v>
      </c>
      <c r="C15" s="26" t="s">
        <v>145</v>
      </c>
      <c r="D15" s="26" t="s">
        <v>123</v>
      </c>
      <c r="E15" s="26" t="s">
        <v>123</v>
      </c>
      <c r="F15" s="26" t="s">
        <v>146</v>
      </c>
      <c r="G15" s="26">
        <v>2026</v>
      </c>
      <c r="H15" s="26" t="s">
        <v>29</v>
      </c>
      <c r="I15" s="26" t="s">
        <v>30</v>
      </c>
      <c r="J15" s="26" t="s">
        <v>147</v>
      </c>
      <c r="K15" s="26"/>
      <c r="L15" s="26" t="s">
        <v>32</v>
      </c>
      <c r="M15" s="26" t="s">
        <v>33</v>
      </c>
      <c r="N15" s="26" t="s">
        <v>148</v>
      </c>
      <c r="O15" s="30" t="s">
        <v>149</v>
      </c>
      <c r="P15" s="26" t="s">
        <v>150</v>
      </c>
      <c r="Q15" s="26" t="s">
        <v>37</v>
      </c>
      <c r="R15" s="26" t="s">
        <v>68</v>
      </c>
      <c r="S15" s="26">
        <v>3102521005</v>
      </c>
      <c r="T15" s="26" t="s">
        <v>151</v>
      </c>
      <c r="U15" s="26" t="s">
        <v>152</v>
      </c>
      <c r="V15">
        <f t="shared" si="0"/>
        <v>29</v>
      </c>
      <c r="W15">
        <f t="shared" si="1"/>
        <v>7</v>
      </c>
      <c r="X15">
        <f t="shared" si="2"/>
        <v>2026</v>
      </c>
      <c r="Y15" t="str">
        <f t="shared" si="3"/>
        <v>29-2026</v>
      </c>
      <c r="Z15" t="s">
        <v>53</v>
      </c>
    </row>
    <row r="16" spans="1:27" ht="32.15" customHeight="1" x14ac:dyDescent="0.35">
      <c r="A16" s="26">
        <v>3652807</v>
      </c>
      <c r="B16" s="26" t="s">
        <v>121</v>
      </c>
      <c r="C16" s="26" t="s">
        <v>122</v>
      </c>
      <c r="D16" s="26" t="s">
        <v>123</v>
      </c>
      <c r="E16" s="26" t="s">
        <v>123</v>
      </c>
      <c r="F16" s="26" t="s">
        <v>153</v>
      </c>
      <c r="G16" s="26">
        <v>2026</v>
      </c>
      <c r="H16" s="26" t="s">
        <v>29</v>
      </c>
      <c r="I16" s="26" t="s">
        <v>30</v>
      </c>
      <c r="J16" s="26" t="s">
        <v>154</v>
      </c>
      <c r="K16" s="26"/>
      <c r="L16" s="26" t="s">
        <v>32</v>
      </c>
      <c r="M16" s="26" t="s">
        <v>33</v>
      </c>
      <c r="N16" s="26" t="s">
        <v>155</v>
      </c>
      <c r="O16" s="30" t="s">
        <v>156</v>
      </c>
      <c r="P16" s="26" t="s">
        <v>67</v>
      </c>
      <c r="Q16" s="26" t="s">
        <v>98</v>
      </c>
      <c r="R16" s="26" t="s">
        <v>38</v>
      </c>
      <c r="S16" s="26" t="s">
        <v>157</v>
      </c>
      <c r="T16" s="26" t="s">
        <v>129</v>
      </c>
      <c r="U16" s="26" t="s">
        <v>158</v>
      </c>
      <c r="V16">
        <f t="shared" si="0"/>
        <v>29</v>
      </c>
      <c r="W16">
        <f t="shared" si="1"/>
        <v>7</v>
      </c>
      <c r="X16">
        <f t="shared" si="2"/>
        <v>2026</v>
      </c>
      <c r="Y16" t="str">
        <f t="shared" si="3"/>
        <v>29-2026</v>
      </c>
      <c r="Z16" t="s">
        <v>53</v>
      </c>
    </row>
    <row r="17" spans="1:27" ht="32.15" customHeight="1" x14ac:dyDescent="0.35">
      <c r="A17" s="26">
        <v>3652812</v>
      </c>
      <c r="B17" s="26" t="s">
        <v>121</v>
      </c>
      <c r="C17" s="26" t="s">
        <v>122</v>
      </c>
      <c r="D17" s="26" t="s">
        <v>123</v>
      </c>
      <c r="E17" s="26" t="s">
        <v>123</v>
      </c>
      <c r="F17" s="26" t="s">
        <v>159</v>
      </c>
      <c r="G17" s="26">
        <v>2026</v>
      </c>
      <c r="H17" s="26" t="s">
        <v>29</v>
      </c>
      <c r="I17" s="26" t="s">
        <v>30</v>
      </c>
      <c r="J17" s="26" t="s">
        <v>160</v>
      </c>
      <c r="K17" s="26"/>
      <c r="L17" s="26" t="s">
        <v>32</v>
      </c>
      <c r="M17" s="26" t="s">
        <v>33</v>
      </c>
      <c r="N17" s="26" t="s">
        <v>161</v>
      </c>
      <c r="O17" s="30" t="s">
        <v>162</v>
      </c>
      <c r="P17" s="26" t="s">
        <v>67</v>
      </c>
      <c r="Q17" s="26" t="s">
        <v>98</v>
      </c>
      <c r="R17" s="26" t="s">
        <v>38</v>
      </c>
      <c r="S17" s="26">
        <v>3105722683</v>
      </c>
      <c r="T17" s="26" t="s">
        <v>163</v>
      </c>
      <c r="U17" s="26" t="s">
        <v>164</v>
      </c>
      <c r="V17">
        <f t="shared" si="0"/>
        <v>29</v>
      </c>
      <c r="W17">
        <f t="shared" si="1"/>
        <v>7</v>
      </c>
      <c r="X17">
        <f t="shared" si="2"/>
        <v>2026</v>
      </c>
      <c r="Y17" t="str">
        <f t="shared" si="3"/>
        <v>29-2026</v>
      </c>
      <c r="Z17" t="s">
        <v>53</v>
      </c>
    </row>
    <row r="18" spans="1:27" ht="32.15" customHeight="1" x14ac:dyDescent="0.35">
      <c r="A18" s="26">
        <v>3652852</v>
      </c>
      <c r="B18" s="26" t="s">
        <v>165</v>
      </c>
      <c r="C18" s="26" t="s">
        <v>166</v>
      </c>
      <c r="D18" s="26" t="s">
        <v>123</v>
      </c>
      <c r="E18" s="26" t="s">
        <v>123</v>
      </c>
      <c r="F18" s="26" t="s">
        <v>167</v>
      </c>
      <c r="G18" s="26">
        <v>2026</v>
      </c>
      <c r="H18" s="26" t="s">
        <v>29</v>
      </c>
      <c r="I18" s="26" t="s">
        <v>30</v>
      </c>
      <c r="J18" s="26" t="s">
        <v>168</v>
      </c>
      <c r="K18" s="26"/>
      <c r="L18" s="26" t="s">
        <v>32</v>
      </c>
      <c r="M18" s="26" t="s">
        <v>169</v>
      </c>
      <c r="N18" s="26" t="s">
        <v>170</v>
      </c>
      <c r="O18" s="30" t="s">
        <v>171</v>
      </c>
      <c r="P18" s="26" t="s">
        <v>67</v>
      </c>
      <c r="Q18" s="26" t="s">
        <v>37</v>
      </c>
      <c r="R18" s="26" t="s">
        <v>38</v>
      </c>
      <c r="S18" s="26" t="s">
        <v>172</v>
      </c>
      <c r="T18" s="26">
        <v>3002661196</v>
      </c>
      <c r="U18" s="26" t="s">
        <v>173</v>
      </c>
      <c r="V18">
        <f t="shared" si="0"/>
        <v>29</v>
      </c>
      <c r="W18">
        <f t="shared" si="1"/>
        <v>7</v>
      </c>
      <c r="X18">
        <f t="shared" si="2"/>
        <v>2026</v>
      </c>
      <c r="Y18" t="str">
        <f t="shared" si="3"/>
        <v>29-2026</v>
      </c>
      <c r="Z18" t="s">
        <v>53</v>
      </c>
    </row>
    <row r="19" spans="1:27" ht="32.15" customHeight="1" x14ac:dyDescent="0.35">
      <c r="A19" s="26">
        <v>3652942</v>
      </c>
      <c r="B19" s="26" t="s">
        <v>174</v>
      </c>
      <c r="C19" s="26" t="s">
        <v>175</v>
      </c>
      <c r="D19" s="26" t="s">
        <v>123</v>
      </c>
      <c r="E19" s="26" t="s">
        <v>123</v>
      </c>
      <c r="F19" s="26" t="s">
        <v>176</v>
      </c>
      <c r="G19" s="26">
        <v>2026</v>
      </c>
      <c r="H19" s="26" t="s">
        <v>29</v>
      </c>
      <c r="I19" s="26" t="s">
        <v>30</v>
      </c>
      <c r="J19" s="26" t="s">
        <v>177</v>
      </c>
      <c r="K19" s="26"/>
      <c r="L19" s="26" t="s">
        <v>32</v>
      </c>
      <c r="M19" s="26" t="s">
        <v>33</v>
      </c>
      <c r="N19" s="26" t="s">
        <v>178</v>
      </c>
      <c r="O19" s="30" t="s">
        <v>179</v>
      </c>
      <c r="P19" s="26" t="s">
        <v>36</v>
      </c>
      <c r="Q19" s="26" t="s">
        <v>98</v>
      </c>
      <c r="R19" s="26" t="s">
        <v>38</v>
      </c>
      <c r="S19" s="26">
        <v>3112914286</v>
      </c>
      <c r="T19" s="26" t="s">
        <v>180</v>
      </c>
      <c r="U19" s="26" t="s">
        <v>181</v>
      </c>
      <c r="V19">
        <f t="shared" si="0"/>
        <v>29</v>
      </c>
      <c r="W19">
        <f t="shared" si="1"/>
        <v>7</v>
      </c>
      <c r="X19">
        <f t="shared" si="2"/>
        <v>2026</v>
      </c>
      <c r="Y19" t="str">
        <f t="shared" si="3"/>
        <v>29-2026</v>
      </c>
      <c r="Z19" t="s">
        <v>182</v>
      </c>
      <c r="AA19" t="s">
        <v>183</v>
      </c>
    </row>
    <row r="20" spans="1:27" ht="32.15" customHeight="1" x14ac:dyDescent="0.35">
      <c r="A20" s="26">
        <v>3652948</v>
      </c>
      <c r="B20" s="26" t="s">
        <v>184</v>
      </c>
      <c r="C20" s="26" t="s">
        <v>185</v>
      </c>
      <c r="D20" s="26" t="s">
        <v>123</v>
      </c>
      <c r="E20" s="26" t="s">
        <v>123</v>
      </c>
      <c r="F20" s="26" t="s">
        <v>186</v>
      </c>
      <c r="G20" s="26">
        <v>2026</v>
      </c>
      <c r="H20" s="26" t="s">
        <v>29</v>
      </c>
      <c r="I20" s="26" t="s">
        <v>30</v>
      </c>
      <c r="J20" s="26" t="s">
        <v>187</v>
      </c>
      <c r="K20" s="26"/>
      <c r="L20" s="26" t="s">
        <v>32</v>
      </c>
      <c r="M20" s="26" t="s">
        <v>169</v>
      </c>
      <c r="N20" s="26" t="s">
        <v>188</v>
      </c>
      <c r="O20" s="30" t="s">
        <v>189</v>
      </c>
      <c r="P20" s="26" t="s">
        <v>67</v>
      </c>
      <c r="Q20" s="26" t="s">
        <v>98</v>
      </c>
      <c r="R20" s="26" t="s">
        <v>38</v>
      </c>
      <c r="S20" s="26">
        <v>3105652759</v>
      </c>
      <c r="T20" s="26" t="s">
        <v>190</v>
      </c>
      <c r="U20" s="26" t="s">
        <v>191</v>
      </c>
      <c r="V20">
        <f t="shared" si="0"/>
        <v>29</v>
      </c>
      <c r="W20">
        <f t="shared" si="1"/>
        <v>7</v>
      </c>
      <c r="X20">
        <f t="shared" si="2"/>
        <v>2026</v>
      </c>
      <c r="Y20" t="str">
        <f t="shared" si="3"/>
        <v>29-2026</v>
      </c>
      <c r="Z20" t="s">
        <v>53</v>
      </c>
    </row>
    <row r="21" spans="1:27" ht="32.15" customHeight="1" x14ac:dyDescent="0.35">
      <c r="A21" s="26">
        <v>3652991</v>
      </c>
      <c r="B21" s="26" t="s">
        <v>184</v>
      </c>
      <c r="C21" s="26" t="s">
        <v>185</v>
      </c>
      <c r="D21" s="26" t="s">
        <v>123</v>
      </c>
      <c r="E21" s="26" t="s">
        <v>123</v>
      </c>
      <c r="F21" s="26" t="s">
        <v>192</v>
      </c>
      <c r="G21" s="26">
        <v>2026</v>
      </c>
      <c r="H21" s="26" t="s">
        <v>29</v>
      </c>
      <c r="I21" s="26" t="s">
        <v>30</v>
      </c>
      <c r="J21" s="26" t="s">
        <v>193</v>
      </c>
      <c r="K21" s="26" t="s">
        <v>194</v>
      </c>
      <c r="L21" s="26" t="s">
        <v>32</v>
      </c>
      <c r="M21" s="26" t="s">
        <v>169</v>
      </c>
      <c r="N21" s="26" t="s">
        <v>195</v>
      </c>
      <c r="O21" s="26" t="s">
        <v>196</v>
      </c>
      <c r="P21" s="26" t="s">
        <v>36</v>
      </c>
      <c r="Q21" s="26" t="s">
        <v>37</v>
      </c>
      <c r="R21" s="26" t="s">
        <v>99</v>
      </c>
      <c r="S21" s="26">
        <v>3115576168</v>
      </c>
      <c r="T21" s="26" t="s">
        <v>190</v>
      </c>
      <c r="U21" s="26" t="s">
        <v>197</v>
      </c>
      <c r="V21">
        <f t="shared" si="0"/>
        <v>29</v>
      </c>
      <c r="W21">
        <f t="shared" si="1"/>
        <v>7</v>
      </c>
      <c r="X21">
        <f t="shared" si="2"/>
        <v>2026</v>
      </c>
      <c r="Y21" t="str">
        <f t="shared" si="3"/>
        <v>29-2026</v>
      </c>
      <c r="Z21" t="s">
        <v>53</v>
      </c>
    </row>
    <row r="22" spans="1:27" ht="32.15" customHeight="1" x14ac:dyDescent="0.35">
      <c r="A22" s="26">
        <v>3653000</v>
      </c>
      <c r="B22" s="26" t="s">
        <v>198</v>
      </c>
      <c r="C22" s="26" t="s">
        <v>199</v>
      </c>
      <c r="D22" s="26" t="s">
        <v>123</v>
      </c>
      <c r="E22" s="26" t="s">
        <v>123</v>
      </c>
      <c r="F22" s="26" t="s">
        <v>200</v>
      </c>
      <c r="G22" s="26">
        <v>2026</v>
      </c>
      <c r="H22" s="26" t="s">
        <v>29</v>
      </c>
      <c r="I22" s="26" t="s">
        <v>30</v>
      </c>
      <c r="J22" s="26" t="s">
        <v>201</v>
      </c>
      <c r="K22" s="26"/>
      <c r="L22" s="26" t="s">
        <v>32</v>
      </c>
      <c r="M22" s="26" t="s">
        <v>33</v>
      </c>
      <c r="N22" s="26" t="s">
        <v>202</v>
      </c>
      <c r="O22" s="30" t="s">
        <v>203</v>
      </c>
      <c r="P22" s="26" t="s">
        <v>67</v>
      </c>
      <c r="Q22" s="26" t="s">
        <v>37</v>
      </c>
      <c r="R22" s="26" t="s">
        <v>38</v>
      </c>
      <c r="S22" s="26" t="s">
        <v>204</v>
      </c>
      <c r="T22" s="26" t="s">
        <v>205</v>
      </c>
      <c r="U22" s="26" t="s">
        <v>206</v>
      </c>
      <c r="V22">
        <f t="shared" si="0"/>
        <v>29</v>
      </c>
      <c r="W22">
        <f t="shared" si="1"/>
        <v>7</v>
      </c>
      <c r="X22">
        <f t="shared" si="2"/>
        <v>2026</v>
      </c>
      <c r="Y22" t="str">
        <f t="shared" si="3"/>
        <v>29-2026</v>
      </c>
    </row>
    <row r="23" spans="1:27" ht="32.15" customHeight="1" x14ac:dyDescent="0.35">
      <c r="A23" s="26">
        <v>3653008</v>
      </c>
      <c r="B23" s="26" t="s">
        <v>184</v>
      </c>
      <c r="C23" s="26" t="s">
        <v>185</v>
      </c>
      <c r="D23" s="26" t="s">
        <v>123</v>
      </c>
      <c r="E23" s="26" t="s">
        <v>123</v>
      </c>
      <c r="F23" s="26" t="s">
        <v>207</v>
      </c>
      <c r="G23" s="26">
        <v>2026</v>
      </c>
      <c r="H23" s="26" t="s">
        <v>29</v>
      </c>
      <c r="I23" s="26" t="s">
        <v>30</v>
      </c>
      <c r="J23" s="26" t="s">
        <v>208</v>
      </c>
      <c r="K23" s="26"/>
      <c r="L23" s="26" t="s">
        <v>32</v>
      </c>
      <c r="M23" s="26" t="s">
        <v>169</v>
      </c>
      <c r="N23" s="26" t="s">
        <v>209</v>
      </c>
      <c r="O23" s="26" t="s">
        <v>210</v>
      </c>
      <c r="P23" s="26" t="s">
        <v>36</v>
      </c>
      <c r="Q23" s="26" t="s">
        <v>98</v>
      </c>
      <c r="R23" s="26" t="s">
        <v>68</v>
      </c>
      <c r="S23" s="26" t="s">
        <v>211</v>
      </c>
      <c r="T23" s="26" t="s">
        <v>190</v>
      </c>
      <c r="U23" s="26" t="s">
        <v>212</v>
      </c>
      <c r="V23">
        <f t="shared" si="0"/>
        <v>29</v>
      </c>
      <c r="W23">
        <f t="shared" si="1"/>
        <v>7</v>
      </c>
      <c r="X23">
        <f t="shared" si="2"/>
        <v>2026</v>
      </c>
      <c r="Y23" t="str">
        <f t="shared" si="3"/>
        <v>29-2026</v>
      </c>
    </row>
    <row r="24" spans="1:27" ht="32.15" customHeight="1" x14ac:dyDescent="0.35">
      <c r="A24" s="26">
        <v>3653140</v>
      </c>
      <c r="B24" s="26" t="s">
        <v>174</v>
      </c>
      <c r="C24" s="26" t="s">
        <v>175</v>
      </c>
      <c r="D24" s="26" t="s">
        <v>123</v>
      </c>
      <c r="E24" s="26" t="s">
        <v>123</v>
      </c>
      <c r="F24" s="26" t="s">
        <v>213</v>
      </c>
      <c r="G24" s="26">
        <v>2026</v>
      </c>
      <c r="H24" s="26" t="s">
        <v>29</v>
      </c>
      <c r="I24" s="26" t="s">
        <v>30</v>
      </c>
      <c r="J24" s="26" t="s">
        <v>214</v>
      </c>
      <c r="K24" s="26"/>
      <c r="L24" s="26" t="s">
        <v>32</v>
      </c>
      <c r="M24" s="26" t="s">
        <v>33</v>
      </c>
      <c r="N24" s="26" t="s">
        <v>215</v>
      </c>
      <c r="O24" s="26" t="s">
        <v>216</v>
      </c>
      <c r="P24" s="26" t="s">
        <v>36</v>
      </c>
      <c r="Q24" s="26" t="s">
        <v>37</v>
      </c>
      <c r="R24" s="26" t="s">
        <v>68</v>
      </c>
      <c r="S24" s="26">
        <v>3142406629</v>
      </c>
      <c r="T24" s="26" t="s">
        <v>190</v>
      </c>
      <c r="U24" s="26" t="s">
        <v>217</v>
      </c>
      <c r="V24">
        <f t="shared" si="0"/>
        <v>29</v>
      </c>
      <c r="W24">
        <f t="shared" si="1"/>
        <v>7</v>
      </c>
      <c r="X24">
        <f t="shared" si="2"/>
        <v>2026</v>
      </c>
      <c r="Y24" t="str">
        <f t="shared" si="3"/>
        <v>29-2026</v>
      </c>
    </row>
    <row r="25" spans="1:27" ht="32.15" customHeight="1" x14ac:dyDescent="0.35">
      <c r="A25" s="26">
        <v>3653143</v>
      </c>
      <c r="B25" s="26" t="s">
        <v>218</v>
      </c>
      <c r="C25" s="26" t="s">
        <v>219</v>
      </c>
      <c r="D25" s="26" t="s">
        <v>123</v>
      </c>
      <c r="E25" s="26" t="s">
        <v>123</v>
      </c>
      <c r="F25" s="26" t="s">
        <v>220</v>
      </c>
      <c r="G25" s="26">
        <v>2026</v>
      </c>
      <c r="H25" s="26" t="s">
        <v>29</v>
      </c>
      <c r="I25" s="26" t="s">
        <v>30</v>
      </c>
      <c r="J25" s="26" t="s">
        <v>221</v>
      </c>
      <c r="K25" s="26"/>
      <c r="L25" s="26" t="s">
        <v>32</v>
      </c>
      <c r="M25" s="26" t="s">
        <v>33</v>
      </c>
      <c r="N25" s="26" t="s">
        <v>222</v>
      </c>
      <c r="O25" s="26" t="s">
        <v>223</v>
      </c>
      <c r="P25" s="26" t="s">
        <v>36</v>
      </c>
      <c r="Q25" s="26" t="s">
        <v>98</v>
      </c>
      <c r="R25" s="26" t="s">
        <v>38</v>
      </c>
      <c r="S25" s="26">
        <v>3114910947</v>
      </c>
      <c r="T25" s="26" t="s">
        <v>42</v>
      </c>
      <c r="U25" s="26" t="s">
        <v>224</v>
      </c>
      <c r="V25">
        <f t="shared" si="0"/>
        <v>29</v>
      </c>
      <c r="W25">
        <f t="shared" si="1"/>
        <v>7</v>
      </c>
      <c r="X25">
        <f t="shared" si="2"/>
        <v>2026</v>
      </c>
      <c r="Y25" t="str">
        <f t="shared" si="3"/>
        <v>29-2026</v>
      </c>
    </row>
    <row r="26" spans="1:27" ht="32.15" customHeight="1" x14ac:dyDescent="0.35">
      <c r="A26" s="26">
        <v>3653092</v>
      </c>
      <c r="B26" s="26" t="s">
        <v>225</v>
      </c>
      <c r="C26" s="26" t="s">
        <v>226</v>
      </c>
      <c r="D26" s="26" t="s">
        <v>123</v>
      </c>
      <c r="E26" s="26" t="s">
        <v>123</v>
      </c>
      <c r="F26" s="26" t="s">
        <v>227</v>
      </c>
      <c r="G26" s="26">
        <v>2026</v>
      </c>
      <c r="H26" s="26" t="s">
        <v>29</v>
      </c>
      <c r="I26" s="26" t="s">
        <v>30</v>
      </c>
      <c r="J26" s="26" t="s">
        <v>228</v>
      </c>
      <c r="K26" s="26"/>
      <c r="L26" s="26" t="s">
        <v>32</v>
      </c>
      <c r="M26" s="26" t="s">
        <v>169</v>
      </c>
      <c r="N26" s="26" t="s">
        <v>229</v>
      </c>
      <c r="O26" s="26" t="s">
        <v>230</v>
      </c>
      <c r="P26" s="26" t="s">
        <v>150</v>
      </c>
      <c r="Q26" s="26" t="s">
        <v>98</v>
      </c>
      <c r="R26" s="26" t="s">
        <v>68</v>
      </c>
      <c r="S26" s="26">
        <v>3506549064</v>
      </c>
      <c r="T26" s="26">
        <v>3506549064</v>
      </c>
      <c r="U26" s="26" t="s">
        <v>231</v>
      </c>
      <c r="V26">
        <f t="shared" si="0"/>
        <v>29</v>
      </c>
      <c r="W26">
        <f t="shared" si="1"/>
        <v>7</v>
      </c>
      <c r="X26">
        <f t="shared" si="2"/>
        <v>2026</v>
      </c>
      <c r="Y26" t="str">
        <f t="shared" si="3"/>
        <v>29-2026</v>
      </c>
    </row>
    <row r="27" spans="1:27" ht="32.15" customHeight="1" x14ac:dyDescent="0.35">
      <c r="A27" s="26">
        <v>3656243</v>
      </c>
      <c r="B27" s="26" t="s">
        <v>165</v>
      </c>
      <c r="C27" s="26" t="s">
        <v>166</v>
      </c>
      <c r="D27" s="26" t="s">
        <v>232</v>
      </c>
      <c r="E27" s="26" t="s">
        <v>232</v>
      </c>
      <c r="F27" s="26" t="s">
        <v>233</v>
      </c>
      <c r="G27" s="26">
        <v>2026</v>
      </c>
      <c r="H27" s="26" t="s">
        <v>29</v>
      </c>
      <c r="I27" s="26" t="s">
        <v>30</v>
      </c>
      <c r="J27" s="26" t="s">
        <v>234</v>
      </c>
      <c r="K27" s="26"/>
      <c r="L27" s="26" t="s">
        <v>32</v>
      </c>
      <c r="M27" s="26" t="s">
        <v>169</v>
      </c>
      <c r="N27" s="26" t="s">
        <v>235</v>
      </c>
      <c r="O27" s="26" t="s">
        <v>236</v>
      </c>
      <c r="P27" s="26" t="s">
        <v>36</v>
      </c>
      <c r="Q27" s="26" t="s">
        <v>37</v>
      </c>
      <c r="R27" s="26" t="s">
        <v>38</v>
      </c>
      <c r="S27" s="26" t="s">
        <v>237</v>
      </c>
      <c r="T27" s="26" t="s">
        <v>238</v>
      </c>
      <c r="U27" s="26" t="s">
        <v>239</v>
      </c>
      <c r="V27">
        <f t="shared" si="0"/>
        <v>29</v>
      </c>
      <c r="W27">
        <f t="shared" si="1"/>
        <v>7</v>
      </c>
      <c r="X27">
        <f t="shared" si="2"/>
        <v>2026</v>
      </c>
      <c r="Y27" t="str">
        <f t="shared" si="3"/>
        <v>29-2026</v>
      </c>
    </row>
    <row r="28" spans="1:27" ht="32.15" customHeight="1" x14ac:dyDescent="0.35">
      <c r="A28" s="26">
        <v>3656464</v>
      </c>
      <c r="B28" s="26" t="s">
        <v>71</v>
      </c>
      <c r="C28" s="26" t="s">
        <v>72</v>
      </c>
      <c r="D28" s="26" t="s">
        <v>232</v>
      </c>
      <c r="E28" s="26" t="s">
        <v>232</v>
      </c>
      <c r="F28" s="26" t="s">
        <v>240</v>
      </c>
      <c r="G28" s="26">
        <v>2026</v>
      </c>
      <c r="H28" s="26" t="s">
        <v>29</v>
      </c>
      <c r="I28" s="26" t="s">
        <v>30</v>
      </c>
      <c r="J28" s="26" t="s">
        <v>241</v>
      </c>
      <c r="K28" s="26"/>
      <c r="L28" s="26" t="s">
        <v>32</v>
      </c>
      <c r="M28" s="26" t="s">
        <v>33</v>
      </c>
      <c r="N28" s="26" t="s">
        <v>242</v>
      </c>
      <c r="O28" s="26" t="s">
        <v>243</v>
      </c>
      <c r="P28" s="26" t="s">
        <v>36</v>
      </c>
      <c r="Q28" s="26" t="s">
        <v>98</v>
      </c>
      <c r="R28" s="26" t="s">
        <v>38</v>
      </c>
      <c r="S28" s="26">
        <v>3123311755</v>
      </c>
      <c r="T28" s="26">
        <v>3208997195</v>
      </c>
      <c r="U28" s="26" t="s">
        <v>244</v>
      </c>
      <c r="V28">
        <f t="shared" si="0"/>
        <v>29</v>
      </c>
      <c r="W28">
        <f t="shared" si="1"/>
        <v>7</v>
      </c>
      <c r="X28">
        <f t="shared" si="2"/>
        <v>2026</v>
      </c>
      <c r="Y28" t="str">
        <f t="shared" si="3"/>
        <v>29-2026</v>
      </c>
    </row>
    <row r="29" spans="1:27" ht="32.15" customHeight="1" x14ac:dyDescent="0.35">
      <c r="A29" s="26">
        <v>3656477</v>
      </c>
      <c r="B29" s="26" t="s">
        <v>144</v>
      </c>
      <c r="C29" s="26" t="s">
        <v>145</v>
      </c>
      <c r="D29" s="26" t="s">
        <v>232</v>
      </c>
      <c r="E29" s="26" t="s">
        <v>232</v>
      </c>
      <c r="F29" s="26" t="s">
        <v>245</v>
      </c>
      <c r="G29" s="26">
        <v>2026</v>
      </c>
      <c r="H29" s="26" t="s">
        <v>29</v>
      </c>
      <c r="I29" s="26" t="s">
        <v>30</v>
      </c>
      <c r="J29" s="26" t="s">
        <v>246</v>
      </c>
      <c r="K29" s="26"/>
      <c r="L29" s="26" t="s">
        <v>32</v>
      </c>
      <c r="M29" s="26" t="s">
        <v>33</v>
      </c>
      <c r="N29" s="26" t="s">
        <v>247</v>
      </c>
      <c r="O29" s="26" t="s">
        <v>248</v>
      </c>
      <c r="P29" s="26" t="s">
        <v>150</v>
      </c>
      <c r="Q29" s="26" t="s">
        <v>37</v>
      </c>
      <c r="R29" s="26" t="s">
        <v>68</v>
      </c>
      <c r="S29" s="26">
        <v>3205633053</v>
      </c>
      <c r="T29" s="26">
        <v>3205633053</v>
      </c>
      <c r="U29" s="26" t="s">
        <v>249</v>
      </c>
      <c r="V29">
        <f t="shared" si="0"/>
        <v>29</v>
      </c>
      <c r="W29">
        <f t="shared" si="1"/>
        <v>7</v>
      </c>
      <c r="X29">
        <f t="shared" si="2"/>
        <v>2026</v>
      </c>
      <c r="Y29" t="str">
        <f t="shared" si="3"/>
        <v>29-2026</v>
      </c>
    </row>
    <row r="30" spans="1:27" ht="32.15" customHeight="1" x14ac:dyDescent="0.35">
      <c r="A30" s="26">
        <v>3656520</v>
      </c>
      <c r="B30" s="26" t="s">
        <v>103</v>
      </c>
      <c r="C30" s="26" t="s">
        <v>104</v>
      </c>
      <c r="D30" s="26" t="s">
        <v>232</v>
      </c>
      <c r="E30" s="26" t="s">
        <v>232</v>
      </c>
      <c r="F30" s="26" t="s">
        <v>250</v>
      </c>
      <c r="G30" s="26">
        <v>2026</v>
      </c>
      <c r="H30" s="26" t="s">
        <v>29</v>
      </c>
      <c r="I30" s="26" t="s">
        <v>30</v>
      </c>
      <c r="J30" s="26" t="s">
        <v>251</v>
      </c>
      <c r="K30" s="26"/>
      <c r="L30" s="26" t="s">
        <v>63</v>
      </c>
      <c r="M30" s="26" t="s">
        <v>64</v>
      </c>
      <c r="N30" s="26" t="s">
        <v>252</v>
      </c>
      <c r="O30" s="26" t="s">
        <v>253</v>
      </c>
      <c r="P30" s="26" t="s">
        <v>67</v>
      </c>
      <c r="Q30" s="26" t="s">
        <v>98</v>
      </c>
      <c r="R30" s="26" t="s">
        <v>99</v>
      </c>
      <c r="S30" s="26">
        <v>3104223304</v>
      </c>
      <c r="T30" s="26" t="s">
        <v>254</v>
      </c>
      <c r="U30" s="26" t="s">
        <v>255</v>
      </c>
      <c r="V30">
        <f t="shared" si="0"/>
        <v>29</v>
      </c>
      <c r="W30">
        <f t="shared" si="1"/>
        <v>7</v>
      </c>
      <c r="X30">
        <f t="shared" si="2"/>
        <v>2026</v>
      </c>
      <c r="Y30" t="str">
        <f t="shared" si="3"/>
        <v>29-2026</v>
      </c>
    </row>
    <row r="31" spans="1:27" ht="32.15" customHeight="1" x14ac:dyDescent="0.35">
      <c r="A31" s="26">
        <v>3656577</v>
      </c>
      <c r="B31" s="26" t="s">
        <v>85</v>
      </c>
      <c r="C31" s="26" t="s">
        <v>86</v>
      </c>
      <c r="D31" s="26" t="s">
        <v>232</v>
      </c>
      <c r="E31" s="26" t="s">
        <v>232</v>
      </c>
      <c r="F31" s="26" t="s">
        <v>256</v>
      </c>
      <c r="G31" s="26">
        <v>2026</v>
      </c>
      <c r="H31" s="26" t="s">
        <v>29</v>
      </c>
      <c r="I31" s="26" t="s">
        <v>30</v>
      </c>
      <c r="J31" s="26" t="s">
        <v>257</v>
      </c>
      <c r="K31" s="26"/>
      <c r="L31" s="26" t="s">
        <v>63</v>
      </c>
      <c r="M31" s="26" t="s">
        <v>64</v>
      </c>
      <c r="N31" s="26" t="s">
        <v>258</v>
      </c>
      <c r="O31" s="26" t="s">
        <v>259</v>
      </c>
      <c r="P31" s="26" t="s">
        <v>36</v>
      </c>
      <c r="Q31" s="26" t="s">
        <v>37</v>
      </c>
      <c r="R31" s="26" t="s">
        <v>68</v>
      </c>
      <c r="S31" s="26" t="s">
        <v>260</v>
      </c>
      <c r="T31" s="26" t="s">
        <v>261</v>
      </c>
      <c r="U31" s="26" t="s">
        <v>262</v>
      </c>
      <c r="V31">
        <f t="shared" si="0"/>
        <v>29</v>
      </c>
      <c r="W31">
        <f t="shared" si="1"/>
        <v>7</v>
      </c>
      <c r="X31">
        <f t="shared" si="2"/>
        <v>2026</v>
      </c>
      <c r="Y31" t="str">
        <f t="shared" si="3"/>
        <v>29-2026</v>
      </c>
    </row>
    <row r="32" spans="1:27" ht="32.15" customHeight="1" x14ac:dyDescent="0.35">
      <c r="A32" s="26">
        <v>3656588</v>
      </c>
      <c r="B32" s="26" t="s">
        <v>218</v>
      </c>
      <c r="C32" s="26" t="s">
        <v>219</v>
      </c>
      <c r="D32" s="26" t="s">
        <v>232</v>
      </c>
      <c r="E32" s="26" t="s">
        <v>232</v>
      </c>
      <c r="F32" s="26" t="s">
        <v>263</v>
      </c>
      <c r="G32" s="26">
        <v>2026</v>
      </c>
      <c r="H32" s="26" t="s">
        <v>29</v>
      </c>
      <c r="I32" s="26" t="s">
        <v>30</v>
      </c>
      <c r="J32" s="26" t="s">
        <v>264</v>
      </c>
      <c r="K32" s="26"/>
      <c r="L32" s="26" t="s">
        <v>32</v>
      </c>
      <c r="M32" s="26" t="s">
        <v>33</v>
      </c>
      <c r="N32" s="26" t="s">
        <v>265</v>
      </c>
      <c r="O32" s="26" t="s">
        <v>266</v>
      </c>
      <c r="P32" s="26" t="s">
        <v>36</v>
      </c>
      <c r="Q32" s="26" t="s">
        <v>98</v>
      </c>
      <c r="R32" s="26" t="s">
        <v>38</v>
      </c>
      <c r="S32" s="26" t="s">
        <v>267</v>
      </c>
      <c r="T32" s="26" t="s">
        <v>42</v>
      </c>
      <c r="U32" s="26" t="s">
        <v>268</v>
      </c>
      <c r="V32">
        <f t="shared" si="0"/>
        <v>29</v>
      </c>
      <c r="W32">
        <f t="shared" si="1"/>
        <v>7</v>
      </c>
      <c r="X32">
        <f t="shared" si="2"/>
        <v>2026</v>
      </c>
      <c r="Y32" t="str">
        <f t="shared" si="3"/>
        <v>29-2026</v>
      </c>
    </row>
    <row r="33" spans="1:25" ht="32.15" customHeight="1" x14ac:dyDescent="0.35">
      <c r="A33" s="26">
        <v>3656652</v>
      </c>
      <c r="B33" s="26" t="s">
        <v>71</v>
      </c>
      <c r="C33" s="26" t="s">
        <v>72</v>
      </c>
      <c r="D33" s="26" t="s">
        <v>232</v>
      </c>
      <c r="E33" s="26" t="s">
        <v>232</v>
      </c>
      <c r="F33" s="26" t="s">
        <v>269</v>
      </c>
      <c r="G33" s="26">
        <v>2026</v>
      </c>
      <c r="H33" s="26" t="s">
        <v>29</v>
      </c>
      <c r="I33" s="26" t="s">
        <v>30</v>
      </c>
      <c r="J33" s="26" t="s">
        <v>270</v>
      </c>
      <c r="K33" s="26"/>
      <c r="L33" s="26" t="s">
        <v>32</v>
      </c>
      <c r="M33" s="26" t="s">
        <v>33</v>
      </c>
      <c r="N33" s="26" t="s">
        <v>271</v>
      </c>
      <c r="O33" s="26" t="s">
        <v>272</v>
      </c>
      <c r="P33" s="26" t="s">
        <v>150</v>
      </c>
      <c r="Q33" s="26" t="s">
        <v>37</v>
      </c>
      <c r="R33" s="26" t="s">
        <v>68</v>
      </c>
      <c r="S33" s="26">
        <v>3124883281</v>
      </c>
      <c r="T33" s="26">
        <v>3028167161</v>
      </c>
      <c r="U33" s="26" t="s">
        <v>273</v>
      </c>
      <c r="V33">
        <f t="shared" si="0"/>
        <v>29</v>
      </c>
      <c r="W33">
        <f t="shared" si="1"/>
        <v>7</v>
      </c>
      <c r="X33">
        <f t="shared" si="2"/>
        <v>2026</v>
      </c>
      <c r="Y33" t="str">
        <f t="shared" si="3"/>
        <v>29-2026</v>
      </c>
    </row>
    <row r="34" spans="1:25" ht="32.15" customHeight="1" x14ac:dyDescent="0.35">
      <c r="A34" s="26">
        <v>3668119</v>
      </c>
      <c r="B34" s="26" t="s">
        <v>274</v>
      </c>
      <c r="C34" s="26" t="s">
        <v>275</v>
      </c>
      <c r="D34" s="26" t="s">
        <v>276</v>
      </c>
      <c r="E34" s="26" t="s">
        <v>276</v>
      </c>
      <c r="F34" s="26" t="s">
        <v>277</v>
      </c>
      <c r="G34" s="26">
        <v>2026</v>
      </c>
      <c r="H34" s="26" t="s">
        <v>29</v>
      </c>
      <c r="I34" s="26" t="s">
        <v>30</v>
      </c>
      <c r="J34" s="26" t="s">
        <v>278</v>
      </c>
      <c r="K34" s="26"/>
      <c r="L34" s="26" t="s">
        <v>32</v>
      </c>
      <c r="M34" s="26" t="s">
        <v>115</v>
      </c>
      <c r="N34" s="26" t="s">
        <v>279</v>
      </c>
      <c r="O34" s="26" t="s">
        <v>280</v>
      </c>
      <c r="P34" s="26" t="s">
        <v>150</v>
      </c>
      <c r="Q34" s="26" t="s">
        <v>37</v>
      </c>
      <c r="R34" s="26" t="s">
        <v>68</v>
      </c>
      <c r="S34" s="26" t="s">
        <v>281</v>
      </c>
      <c r="T34" s="26">
        <v>3112581902</v>
      </c>
      <c r="U34" s="26" t="s">
        <v>282</v>
      </c>
      <c r="V34">
        <f t="shared" si="0"/>
        <v>30</v>
      </c>
      <c r="W34">
        <f t="shared" si="1"/>
        <v>7</v>
      </c>
      <c r="X34">
        <f t="shared" si="2"/>
        <v>2026</v>
      </c>
      <c r="Y34" t="str">
        <f t="shared" si="3"/>
        <v>30-2026</v>
      </c>
    </row>
  </sheetData>
  <hyperlinks>
    <hyperlink ref="O6" r:id="rId1" xr:uid="{D42D7EF3-3D46-4E54-8C69-3FBA36D0709C}"/>
    <hyperlink ref="O7" r:id="rId2" xr:uid="{30746116-5705-4D4E-9BDA-784804282991}"/>
    <hyperlink ref="O8" r:id="rId3" xr:uid="{EEFDC895-F2FF-487F-8289-B50C094BEB17}"/>
    <hyperlink ref="O9" r:id="rId4" xr:uid="{4F03A30A-15C4-44D7-99B4-15C9F8AB6D1F}"/>
    <hyperlink ref="T9" r:id="rId5" xr:uid="{B6FBBEE1-F535-4141-A6EC-B010DE42326B}"/>
    <hyperlink ref="O10" r:id="rId6" xr:uid="{461AD067-2B3B-420C-A3D3-0BE4B50A4A56}"/>
    <hyperlink ref="O11" r:id="rId7" xr:uid="{E79601BB-DEBD-4DA8-BB71-18ACFD9B6815}"/>
    <hyperlink ref="O12" r:id="rId8" xr:uid="{7C77FB56-C3FD-4493-86AB-D20A41AA64B6}"/>
    <hyperlink ref="O13" r:id="rId9" xr:uid="{05505495-AED5-4336-9C1D-BADDC5E7BF19}"/>
    <hyperlink ref="O14" r:id="rId10" xr:uid="{FE167FE7-4190-484E-862C-743DEFF9E0FF}"/>
    <hyperlink ref="O15" r:id="rId11" xr:uid="{C1649F27-7A32-4364-9B70-7A805041FD53}"/>
    <hyperlink ref="O16" r:id="rId12" xr:uid="{9BBB34D6-131C-4C1A-8682-33A8E53836E6}"/>
    <hyperlink ref="O17" r:id="rId13" xr:uid="{14A93640-90B1-4A22-80DA-78943F577899}"/>
    <hyperlink ref="O18" r:id="rId14" xr:uid="{EB4CA6F7-4197-4BFA-80D0-C6C5EF313397}"/>
    <hyperlink ref="O19" r:id="rId15" xr:uid="{6E9EBDC5-7E23-4472-B11A-4E617E1F3D3C}"/>
    <hyperlink ref="O20" r:id="rId16" xr:uid="{64FDEBC3-1188-4947-8940-AB21C6137660}"/>
    <hyperlink ref="O22" r:id="rId17" xr:uid="{97B090AC-C2A3-45F8-94CE-B91E53D0599D}"/>
  </hyperlinks>
  <pageMargins left="0.75" right="0.75" top="1" bottom="1" header="0.5" footer="0.5"/>
  <headerFooter>
    <oddFooter>&amp;C_x000D_&amp;1#&amp;"Calibri"&amp;10&amp;K000000 OXXO | Uso Interno</oddFooter>
  </headerFooter>
  <extLst>
    <ext xmlns:x15="http://schemas.microsoft.com/office/spreadsheetml/2010/11/main" uri="{F7C9EE02-42E1-4005-9D12-6889AFFD525C}">
      <x15:webExtensions xmlns:xm="http://schemas.microsoft.com/office/excel/2006/main">
        <x15:webExtension appRef="{D1D96084-D2D0-44CF-A08D-F551EC34CEFB}">
          <xm:f>Visitas_Operaciones!#REF!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0295F-CB05-4127-8119-F9C586B63898}">
  <dimension ref="A1:B46"/>
  <sheetViews>
    <sheetView zoomScale="59" zoomScaleNormal="59" workbookViewId="0">
      <selection activeCell="O48" sqref="O48"/>
    </sheetView>
  </sheetViews>
  <sheetFormatPr baseColWidth="10" defaultColWidth="11.453125" defaultRowHeight="14.5" x14ac:dyDescent="0.35"/>
  <cols>
    <col min="1" max="1" width="29.81640625" bestFit="1" customWidth="1"/>
    <col min="2" max="2" width="25.1796875" bestFit="1" customWidth="1"/>
  </cols>
  <sheetData>
    <row r="1" spans="1:2" x14ac:dyDescent="0.35">
      <c r="A1" s="27" t="s">
        <v>1</v>
      </c>
      <c r="B1" t="s">
        <v>283</v>
      </c>
    </row>
    <row r="3" spans="1:2" x14ac:dyDescent="0.35">
      <c r="A3" s="27" t="s">
        <v>284</v>
      </c>
      <c r="B3" t="s">
        <v>285</v>
      </c>
    </row>
    <row r="4" spans="1:2" x14ac:dyDescent="0.35">
      <c r="A4" s="28" t="s">
        <v>32</v>
      </c>
      <c r="B4">
        <v>24</v>
      </c>
    </row>
    <row r="5" spans="1:2" x14ac:dyDescent="0.35">
      <c r="A5" s="28" t="s">
        <v>47</v>
      </c>
      <c r="B5">
        <v>1</v>
      </c>
    </row>
    <row r="6" spans="1:2" x14ac:dyDescent="0.35">
      <c r="A6" s="28" t="s">
        <v>63</v>
      </c>
      <c r="B6">
        <v>6</v>
      </c>
    </row>
    <row r="7" spans="1:2" x14ac:dyDescent="0.35">
      <c r="A7" s="28" t="s">
        <v>286</v>
      </c>
      <c r="B7">
        <v>31</v>
      </c>
    </row>
    <row r="22" spans="1:2" x14ac:dyDescent="0.35">
      <c r="A22" t="s">
        <v>284</v>
      </c>
      <c r="B22" t="s">
        <v>285</v>
      </c>
    </row>
    <row r="23" spans="1:2" x14ac:dyDescent="0.35">
      <c r="A23" t="s">
        <v>225</v>
      </c>
      <c r="B23">
        <v>1</v>
      </c>
    </row>
    <row r="24" spans="1:2" x14ac:dyDescent="0.35">
      <c r="A24" t="s">
        <v>111</v>
      </c>
      <c r="B24">
        <v>1</v>
      </c>
    </row>
    <row r="25" spans="1:2" x14ac:dyDescent="0.35">
      <c r="A25" t="s">
        <v>198</v>
      </c>
      <c r="B25">
        <v>1</v>
      </c>
    </row>
    <row r="26" spans="1:2" x14ac:dyDescent="0.35">
      <c r="A26" t="s">
        <v>274</v>
      </c>
      <c r="B26">
        <v>1</v>
      </c>
    </row>
    <row r="27" spans="1:2" x14ac:dyDescent="0.35">
      <c r="A27" t="s">
        <v>60</v>
      </c>
      <c r="B27">
        <v>1</v>
      </c>
    </row>
    <row r="28" spans="1:2" x14ac:dyDescent="0.35">
      <c r="A28" t="s">
        <v>43</v>
      </c>
      <c r="B28">
        <v>1</v>
      </c>
    </row>
    <row r="29" spans="1:2" x14ac:dyDescent="0.35">
      <c r="A29" t="s">
        <v>103</v>
      </c>
      <c r="B29">
        <v>2</v>
      </c>
    </row>
    <row r="30" spans="1:2" x14ac:dyDescent="0.35">
      <c r="A30" t="s">
        <v>144</v>
      </c>
      <c r="B30">
        <v>2</v>
      </c>
    </row>
    <row r="31" spans="1:2" x14ac:dyDescent="0.35">
      <c r="A31" t="s">
        <v>165</v>
      </c>
      <c r="B31">
        <v>2</v>
      </c>
    </row>
    <row r="32" spans="1:2" x14ac:dyDescent="0.35">
      <c r="A32" t="s">
        <v>218</v>
      </c>
      <c r="B32">
        <v>2</v>
      </c>
    </row>
    <row r="33" spans="1:2" x14ac:dyDescent="0.35">
      <c r="A33" t="s">
        <v>174</v>
      </c>
      <c r="B33">
        <v>2</v>
      </c>
    </row>
    <row r="34" spans="1:2" x14ac:dyDescent="0.35">
      <c r="A34" t="s">
        <v>184</v>
      </c>
      <c r="B34">
        <v>3</v>
      </c>
    </row>
    <row r="35" spans="1:2" x14ac:dyDescent="0.35">
      <c r="A35" t="s">
        <v>85</v>
      </c>
      <c r="B35">
        <v>3</v>
      </c>
    </row>
    <row r="36" spans="1:2" x14ac:dyDescent="0.35">
      <c r="A36" t="s">
        <v>71</v>
      </c>
      <c r="B36">
        <v>4</v>
      </c>
    </row>
    <row r="37" spans="1:2" x14ac:dyDescent="0.35">
      <c r="A37" t="s">
        <v>121</v>
      </c>
      <c r="B37">
        <v>5</v>
      </c>
    </row>
    <row r="43" spans="1:2" x14ac:dyDescent="0.35">
      <c r="A43" t="s">
        <v>284</v>
      </c>
      <c r="B43" t="s">
        <v>287</v>
      </c>
    </row>
    <row r="44" spans="1:2" x14ac:dyDescent="0.35">
      <c r="A44" t="s">
        <v>32</v>
      </c>
      <c r="B44">
        <v>24</v>
      </c>
    </row>
    <row r="45" spans="1:2" x14ac:dyDescent="0.35">
      <c r="A45" t="s">
        <v>47</v>
      </c>
      <c r="B45">
        <v>1</v>
      </c>
    </row>
    <row r="46" spans="1:2" x14ac:dyDescent="0.35">
      <c r="A46" t="s">
        <v>63</v>
      </c>
      <c r="B46">
        <v>6</v>
      </c>
    </row>
  </sheetData>
  <autoFilter ref="A22:B37" xr:uid="{0CF0295F-CB05-4127-8119-F9C586B63898}">
    <sortState xmlns:xlrd2="http://schemas.microsoft.com/office/spreadsheetml/2017/richdata2" ref="A23:B37">
      <sortCondition ref="B22:B37"/>
    </sortState>
  </autoFilter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2DE4E-759A-4EAE-8D7A-2F7AD667CA7F}">
  <dimension ref="A1:E8"/>
  <sheetViews>
    <sheetView workbookViewId="0">
      <selection activeCell="E7" sqref="E7"/>
    </sheetView>
  </sheetViews>
  <sheetFormatPr baseColWidth="10" defaultColWidth="11.453125" defaultRowHeight="14.5" x14ac:dyDescent="0.35"/>
  <cols>
    <col min="2" max="2" width="15.1796875" bestFit="1" customWidth="1"/>
  </cols>
  <sheetData>
    <row r="1" spans="1:5" x14ac:dyDescent="0.35">
      <c r="A1" t="s">
        <v>288</v>
      </c>
      <c r="B1" t="s">
        <v>289</v>
      </c>
    </row>
    <row r="2" spans="1:5" x14ac:dyDescent="0.35">
      <c r="A2" t="s">
        <v>33</v>
      </c>
      <c r="B2" t="s">
        <v>290</v>
      </c>
      <c r="C2" t="s">
        <v>291</v>
      </c>
      <c r="D2" t="s">
        <v>292</v>
      </c>
      <c r="E2" t="s">
        <v>293</v>
      </c>
    </row>
    <row r="3" spans="1:5" x14ac:dyDescent="0.35">
      <c r="A3" t="s">
        <v>294</v>
      </c>
      <c r="B3" t="s">
        <v>295</v>
      </c>
    </row>
    <row r="4" spans="1:5" x14ac:dyDescent="0.35">
      <c r="A4" t="s">
        <v>115</v>
      </c>
      <c r="B4" t="s">
        <v>290</v>
      </c>
    </row>
    <row r="5" spans="1:5" x14ac:dyDescent="0.35">
      <c r="A5" t="s">
        <v>296</v>
      </c>
      <c r="B5" t="s">
        <v>292</v>
      </c>
    </row>
    <row r="6" spans="1:5" x14ac:dyDescent="0.35">
      <c r="A6" t="s">
        <v>297</v>
      </c>
      <c r="B6" t="s">
        <v>289</v>
      </c>
    </row>
    <row r="7" spans="1:5" x14ac:dyDescent="0.35">
      <c r="A7" t="s">
        <v>298</v>
      </c>
      <c r="B7" t="s">
        <v>295</v>
      </c>
    </row>
    <row r="8" spans="1:5" x14ac:dyDescent="0.35">
      <c r="A8" t="s">
        <v>299</v>
      </c>
      <c r="B8" t="s">
        <v>289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79348-3AA6-4D3A-A2FE-14E557A0B482}">
  <dimension ref="A1:C20"/>
  <sheetViews>
    <sheetView workbookViewId="0">
      <selection activeCell="F14" sqref="F14"/>
    </sheetView>
  </sheetViews>
  <sheetFormatPr baseColWidth="10" defaultColWidth="11.453125" defaultRowHeight="14.5" x14ac:dyDescent="0.35"/>
  <cols>
    <col min="1" max="1" width="29.81640625" bestFit="1" customWidth="1"/>
    <col min="2" max="2" width="29.81640625" customWidth="1"/>
    <col min="3" max="3" width="25.54296875" bestFit="1" customWidth="1"/>
  </cols>
  <sheetData>
    <row r="1" spans="1:3" x14ac:dyDescent="0.35">
      <c r="A1" t="s">
        <v>1</v>
      </c>
      <c r="B1" t="s">
        <v>300</v>
      </c>
      <c r="C1" s="15" t="s">
        <v>301</v>
      </c>
    </row>
    <row r="2" spans="1:3" x14ac:dyDescent="0.35">
      <c r="A2" t="s">
        <v>121</v>
      </c>
      <c r="B2">
        <v>5</v>
      </c>
      <c r="C2" s="16">
        <v>5</v>
      </c>
    </row>
    <row r="3" spans="1:3" x14ac:dyDescent="0.35">
      <c r="A3" t="s">
        <v>71</v>
      </c>
      <c r="B3">
        <v>5</v>
      </c>
      <c r="C3" s="16">
        <v>4</v>
      </c>
    </row>
    <row r="4" spans="1:3" x14ac:dyDescent="0.35">
      <c r="A4" t="s">
        <v>184</v>
      </c>
      <c r="B4">
        <v>5</v>
      </c>
      <c r="C4" s="16">
        <v>3</v>
      </c>
    </row>
    <row r="5" spans="1:3" x14ac:dyDescent="0.35">
      <c r="A5" t="s">
        <v>85</v>
      </c>
      <c r="B5">
        <v>5</v>
      </c>
      <c r="C5" s="16">
        <v>3</v>
      </c>
    </row>
    <row r="6" spans="1:3" x14ac:dyDescent="0.35">
      <c r="A6" t="s">
        <v>103</v>
      </c>
      <c r="B6">
        <v>5</v>
      </c>
      <c r="C6" s="16">
        <v>2</v>
      </c>
    </row>
    <row r="7" spans="1:3" x14ac:dyDescent="0.35">
      <c r="A7" t="s">
        <v>144</v>
      </c>
      <c r="B7">
        <v>5</v>
      </c>
      <c r="C7" s="16">
        <v>2</v>
      </c>
    </row>
    <row r="8" spans="1:3" x14ac:dyDescent="0.35">
      <c r="A8" t="s">
        <v>165</v>
      </c>
      <c r="B8">
        <v>5</v>
      </c>
      <c r="C8" s="16">
        <v>2</v>
      </c>
    </row>
    <row r="9" spans="1:3" x14ac:dyDescent="0.35">
      <c r="A9" t="s">
        <v>218</v>
      </c>
      <c r="B9">
        <v>5</v>
      </c>
      <c r="C9" s="16">
        <v>2</v>
      </c>
    </row>
    <row r="10" spans="1:3" x14ac:dyDescent="0.35">
      <c r="A10" t="s">
        <v>174</v>
      </c>
      <c r="B10">
        <v>5</v>
      </c>
      <c r="C10" s="16">
        <v>2</v>
      </c>
    </row>
    <row r="11" spans="1:3" x14ac:dyDescent="0.35">
      <c r="A11" t="s">
        <v>225</v>
      </c>
      <c r="B11">
        <v>5</v>
      </c>
      <c r="C11" s="16">
        <v>1</v>
      </c>
    </row>
    <row r="12" spans="1:3" x14ac:dyDescent="0.35">
      <c r="A12" t="s">
        <v>111</v>
      </c>
      <c r="B12">
        <v>5</v>
      </c>
      <c r="C12" s="16">
        <v>1</v>
      </c>
    </row>
    <row r="13" spans="1:3" x14ac:dyDescent="0.35">
      <c r="A13" t="s">
        <v>198</v>
      </c>
      <c r="B13">
        <v>5</v>
      </c>
      <c r="C13" s="16">
        <v>1</v>
      </c>
    </row>
    <row r="14" spans="1:3" x14ac:dyDescent="0.35">
      <c r="A14" t="s">
        <v>60</v>
      </c>
      <c r="B14">
        <v>5</v>
      </c>
      <c r="C14" s="16">
        <v>1</v>
      </c>
    </row>
    <row r="15" spans="1:3" x14ac:dyDescent="0.35">
      <c r="A15" t="s">
        <v>43</v>
      </c>
      <c r="B15">
        <v>5</v>
      </c>
      <c r="C15" s="16">
        <v>1</v>
      </c>
    </row>
    <row r="16" spans="1:3" x14ac:dyDescent="0.35">
      <c r="A16" t="s">
        <v>274</v>
      </c>
      <c r="B16">
        <v>5</v>
      </c>
      <c r="C16" s="16">
        <v>0</v>
      </c>
    </row>
    <row r="18" spans="1:3" x14ac:dyDescent="0.35">
      <c r="A18" t="str" cm="1">
        <f t="array" ref="A18:A20">_xlfn.UNIQUE(Visitas_Operaciones!L2:L34)</f>
        <v>Centro</v>
      </c>
      <c r="B18">
        <f>SUM(B2:B16)</f>
        <v>75</v>
      </c>
      <c r="C18" s="16"/>
    </row>
    <row r="19" spans="1:3" x14ac:dyDescent="0.35">
      <c r="A19" t="str">
        <v>Nororiente</v>
      </c>
    </row>
    <row r="20" spans="1:3" x14ac:dyDescent="0.35">
      <c r="A20" t="str">
        <v>Occidente</v>
      </c>
    </row>
  </sheetData>
  <autoFilter ref="A1:C15" xr:uid="{17979348-3AA6-4D3A-A2FE-14E557A0B482}">
    <sortState xmlns:xlrd2="http://schemas.microsoft.com/office/spreadsheetml/2017/richdata2" ref="A2:C16">
      <sortCondition descending="1" ref="C1:C15"/>
    </sortState>
  </autoFilter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E0497-9845-44B9-870E-A17678EFCC8F}">
  <dimension ref="A1:I20"/>
  <sheetViews>
    <sheetView workbookViewId="0">
      <selection activeCell="E1" sqref="E1"/>
    </sheetView>
  </sheetViews>
  <sheetFormatPr baseColWidth="10" defaultColWidth="11.453125" defaultRowHeight="14.5" x14ac:dyDescent="0.35"/>
  <cols>
    <col min="1" max="1" width="35.54296875" bestFit="1" customWidth="1"/>
    <col min="5" max="5" width="12.54296875" bestFit="1" customWidth="1"/>
  </cols>
  <sheetData>
    <row r="1" spans="1:9" x14ac:dyDescent="0.35">
      <c r="A1" s="17" t="s">
        <v>302</v>
      </c>
      <c r="B1" s="17" t="s">
        <v>303</v>
      </c>
      <c r="C1" s="17" t="s">
        <v>304</v>
      </c>
      <c r="D1" s="17" t="s">
        <v>305</v>
      </c>
      <c r="E1" s="17" t="s">
        <v>306</v>
      </c>
      <c r="F1" s="17" t="s">
        <v>307</v>
      </c>
      <c r="G1" s="17" t="s">
        <v>308</v>
      </c>
      <c r="H1" s="17" t="s">
        <v>309</v>
      </c>
      <c r="I1" s="17" t="s">
        <v>301</v>
      </c>
    </row>
    <row r="2" spans="1:9" x14ac:dyDescent="0.35">
      <c r="A2" t="e" cm="1">
        <f t="array" ref="A2">_xlfn.UNIQUE(Visitas_Operaciones!#REF!)</f>
        <v>#REF!</v>
      </c>
      <c r="B2" t="s">
        <v>310</v>
      </c>
      <c r="C2" t="s">
        <v>311</v>
      </c>
      <c r="D2" t="s">
        <v>312</v>
      </c>
      <c r="E2">
        <v>2</v>
      </c>
      <c r="F2">
        <v>1</v>
      </c>
      <c r="G2">
        <v>1</v>
      </c>
      <c r="I2">
        <v>3</v>
      </c>
    </row>
    <row r="3" spans="1:9" x14ac:dyDescent="0.35">
      <c r="B3" t="s">
        <v>310</v>
      </c>
      <c r="C3" t="s">
        <v>313</v>
      </c>
      <c r="D3" t="s">
        <v>312</v>
      </c>
      <c r="E3">
        <v>2</v>
      </c>
      <c r="F3">
        <v>1</v>
      </c>
      <c r="G3">
        <v>0</v>
      </c>
      <c r="H3">
        <v>1</v>
      </c>
      <c r="I3">
        <v>1</v>
      </c>
    </row>
    <row r="4" spans="1:9" x14ac:dyDescent="0.35">
      <c r="B4" t="s">
        <v>310</v>
      </c>
      <c r="C4" t="s">
        <v>314</v>
      </c>
    </row>
    <row r="5" spans="1:9" x14ac:dyDescent="0.35">
      <c r="B5" t="s">
        <v>310</v>
      </c>
      <c r="C5" t="s">
        <v>315</v>
      </c>
      <c r="D5" t="s">
        <v>312</v>
      </c>
      <c r="E5">
        <v>2</v>
      </c>
      <c r="F5">
        <v>2</v>
      </c>
      <c r="G5">
        <v>1</v>
      </c>
      <c r="H5">
        <v>1</v>
      </c>
      <c r="I5">
        <v>1</v>
      </c>
    </row>
    <row r="6" spans="1:9" x14ac:dyDescent="0.35">
      <c r="B6" t="s">
        <v>310</v>
      </c>
      <c r="C6" t="s">
        <v>316</v>
      </c>
      <c r="D6" t="s">
        <v>312</v>
      </c>
      <c r="E6">
        <v>2</v>
      </c>
      <c r="F6">
        <v>2</v>
      </c>
      <c r="G6">
        <v>1</v>
      </c>
      <c r="I6">
        <v>1</v>
      </c>
    </row>
    <row r="7" spans="1:9" x14ac:dyDescent="0.35">
      <c r="B7" t="s">
        <v>310</v>
      </c>
      <c r="C7" t="s">
        <v>317</v>
      </c>
      <c r="D7" t="s">
        <v>312</v>
      </c>
      <c r="E7">
        <v>2</v>
      </c>
      <c r="F7">
        <v>0</v>
      </c>
      <c r="G7">
        <v>0</v>
      </c>
    </row>
    <row r="8" spans="1:9" x14ac:dyDescent="0.35">
      <c r="B8" t="s">
        <v>312</v>
      </c>
      <c r="C8" t="s">
        <v>318</v>
      </c>
    </row>
    <row r="9" spans="1:9" x14ac:dyDescent="0.35">
      <c r="B9" t="s">
        <v>312</v>
      </c>
      <c r="C9" t="s">
        <v>319</v>
      </c>
      <c r="D9" t="s">
        <v>312</v>
      </c>
      <c r="E9">
        <v>10</v>
      </c>
      <c r="F9">
        <v>9</v>
      </c>
      <c r="G9">
        <v>0</v>
      </c>
      <c r="H9">
        <v>3</v>
      </c>
    </row>
    <row r="10" spans="1:9" x14ac:dyDescent="0.35">
      <c r="B10" t="s">
        <v>310</v>
      </c>
      <c r="C10" t="s">
        <v>320</v>
      </c>
      <c r="D10" t="s">
        <v>312</v>
      </c>
      <c r="E10">
        <v>2</v>
      </c>
      <c r="F10">
        <v>2</v>
      </c>
      <c r="G10">
        <v>0</v>
      </c>
    </row>
    <row r="11" spans="1:9" x14ac:dyDescent="0.35">
      <c r="B11" t="s">
        <v>312</v>
      </c>
      <c r="C11" t="s">
        <v>318</v>
      </c>
      <c r="D11" t="s">
        <v>312</v>
      </c>
      <c r="E11">
        <v>5</v>
      </c>
      <c r="F11">
        <v>1</v>
      </c>
      <c r="G11">
        <v>0</v>
      </c>
      <c r="H11">
        <v>1</v>
      </c>
    </row>
    <row r="12" spans="1:9" x14ac:dyDescent="0.35">
      <c r="B12" t="s">
        <v>312</v>
      </c>
      <c r="C12" t="s">
        <v>321</v>
      </c>
    </row>
    <row r="13" spans="1:9" x14ac:dyDescent="0.35">
      <c r="B13" t="s">
        <v>312</v>
      </c>
      <c r="C13" t="s">
        <v>318</v>
      </c>
      <c r="D13" t="s">
        <v>312</v>
      </c>
      <c r="E13">
        <v>5</v>
      </c>
      <c r="F13">
        <v>1</v>
      </c>
      <c r="G13">
        <v>0</v>
      </c>
      <c r="H13">
        <v>3</v>
      </c>
      <c r="I13">
        <v>3</v>
      </c>
    </row>
    <row r="14" spans="1:9" x14ac:dyDescent="0.35">
      <c r="B14" t="s">
        <v>312</v>
      </c>
      <c r="C14" t="s">
        <v>322</v>
      </c>
    </row>
    <row r="15" spans="1:9" x14ac:dyDescent="0.35">
      <c r="B15" t="s">
        <v>312</v>
      </c>
      <c r="C15" t="s">
        <v>322</v>
      </c>
    </row>
    <row r="16" spans="1:9" x14ac:dyDescent="0.35">
      <c r="B16" t="s">
        <v>310</v>
      </c>
      <c r="C16" t="s">
        <v>323</v>
      </c>
    </row>
    <row r="17" spans="1:9" x14ac:dyDescent="0.35">
      <c r="B17" t="s">
        <v>312</v>
      </c>
      <c r="C17" t="s">
        <v>322</v>
      </c>
      <c r="D17" t="s">
        <v>312</v>
      </c>
      <c r="E17">
        <v>5</v>
      </c>
      <c r="F17">
        <v>4</v>
      </c>
      <c r="G17">
        <v>0</v>
      </c>
      <c r="H17">
        <v>3</v>
      </c>
      <c r="I17">
        <v>1</v>
      </c>
    </row>
    <row r="18" spans="1:9" x14ac:dyDescent="0.35">
      <c r="B18" t="s">
        <v>310</v>
      </c>
      <c r="C18" t="s">
        <v>324</v>
      </c>
      <c r="D18" t="s">
        <v>312</v>
      </c>
      <c r="E18">
        <v>2</v>
      </c>
      <c r="F18">
        <v>0</v>
      </c>
      <c r="G18">
        <v>3</v>
      </c>
      <c r="I18">
        <v>1</v>
      </c>
    </row>
    <row r="19" spans="1:9" x14ac:dyDescent="0.35">
      <c r="A19" t="s">
        <v>325</v>
      </c>
      <c r="B19" t="s">
        <v>312</v>
      </c>
      <c r="C19" t="s">
        <v>322</v>
      </c>
      <c r="D19" t="s">
        <v>312</v>
      </c>
      <c r="E19">
        <v>5</v>
      </c>
      <c r="F19">
        <v>0</v>
      </c>
      <c r="G19">
        <v>0</v>
      </c>
      <c r="H19">
        <v>2</v>
      </c>
    </row>
    <row r="20" spans="1:9" x14ac:dyDescent="0.35">
      <c r="A20" s="16" t="s">
        <v>326</v>
      </c>
      <c r="B20" s="16">
        <v>0</v>
      </c>
      <c r="C20" s="16">
        <v>0</v>
      </c>
      <c r="D20" s="16">
        <v>0</v>
      </c>
      <c r="E20" s="19">
        <f>SUM(E2:E19)</f>
        <v>44</v>
      </c>
      <c r="F20" s="19">
        <f>SUM(F2:F19)</f>
        <v>23</v>
      </c>
      <c r="G20" s="17">
        <f>SUM(G2:G19)</f>
        <v>6</v>
      </c>
      <c r="H20" s="17">
        <f>SUM(H2:H19)</f>
        <v>14</v>
      </c>
      <c r="I20" s="17">
        <f>SUM(I2:I19)</f>
        <v>11</v>
      </c>
    </row>
  </sheetData>
  <autoFilter ref="A1:G19" xr:uid="{2E1E0497-9845-44B9-870E-A17678EFCC8F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64806-2444-4FC7-8CFD-D2DDAD0964D9}">
  <dimension ref="A1:B11"/>
  <sheetViews>
    <sheetView workbookViewId="0">
      <selection activeCell="D21" sqref="D21"/>
    </sheetView>
  </sheetViews>
  <sheetFormatPr baseColWidth="10" defaultColWidth="11.453125" defaultRowHeight="14.5" x14ac:dyDescent="0.35"/>
  <cols>
    <col min="2" max="2" width="29.453125" bestFit="1" customWidth="1"/>
  </cols>
  <sheetData>
    <row r="1" spans="1:2" x14ac:dyDescent="0.35">
      <c r="A1" t="s">
        <v>327</v>
      </c>
      <c r="B1" t="s">
        <v>302</v>
      </c>
    </row>
    <row r="2" spans="1:2" x14ac:dyDescent="0.35">
      <c r="A2" t="s">
        <v>321</v>
      </c>
      <c r="B2" t="s">
        <v>328</v>
      </c>
    </row>
    <row r="3" spans="1:2" x14ac:dyDescent="0.35">
      <c r="A3" t="s">
        <v>329</v>
      </c>
      <c r="B3" t="s">
        <v>330</v>
      </c>
    </row>
    <row r="4" spans="1:2" x14ac:dyDescent="0.35">
      <c r="A4" t="s">
        <v>313</v>
      </c>
      <c r="B4" t="s">
        <v>331</v>
      </c>
    </row>
    <row r="5" spans="1:2" x14ac:dyDescent="0.35">
      <c r="A5" t="s">
        <v>311</v>
      </c>
      <c r="B5" t="s">
        <v>332</v>
      </c>
    </row>
    <row r="6" spans="1:2" x14ac:dyDescent="0.35">
      <c r="A6" t="s">
        <v>317</v>
      </c>
      <c r="B6" t="s">
        <v>333</v>
      </c>
    </row>
    <row r="7" spans="1:2" x14ac:dyDescent="0.35">
      <c r="A7" t="s">
        <v>315</v>
      </c>
      <c r="B7" t="s">
        <v>334</v>
      </c>
    </row>
    <row r="8" spans="1:2" x14ac:dyDescent="0.35">
      <c r="A8" t="s">
        <v>316</v>
      </c>
      <c r="B8" t="s">
        <v>335</v>
      </c>
    </row>
    <row r="9" spans="1:2" x14ac:dyDescent="0.35">
      <c r="A9" t="s">
        <v>320</v>
      </c>
      <c r="B9" t="s">
        <v>336</v>
      </c>
    </row>
    <row r="10" spans="1:2" x14ac:dyDescent="0.35">
      <c r="A10" t="s">
        <v>337</v>
      </c>
      <c r="B10" t="s">
        <v>338</v>
      </c>
    </row>
    <row r="11" spans="1:2" x14ac:dyDescent="0.35">
      <c r="A11" t="s">
        <v>324</v>
      </c>
      <c r="B11" t="s">
        <v>339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68A84-DD8E-4B72-9070-0A2BCA883ABB}">
  <dimension ref="A1:V4"/>
  <sheetViews>
    <sheetView topLeftCell="Q1" workbookViewId="0"/>
  </sheetViews>
  <sheetFormatPr baseColWidth="10" defaultColWidth="11.453125" defaultRowHeight="14.5" x14ac:dyDescent="0.35"/>
  <sheetData>
    <row r="1" spans="1:22" ht="53" thickBot="1" x14ac:dyDescent="0.4">
      <c r="A1" s="8">
        <v>3556027</v>
      </c>
      <c r="B1" s="8" t="s">
        <v>340</v>
      </c>
      <c r="C1" s="9"/>
      <c r="D1" s="8" t="s">
        <v>341</v>
      </c>
      <c r="E1" s="8" t="s">
        <v>342</v>
      </c>
      <c r="F1" s="8" t="s">
        <v>343</v>
      </c>
      <c r="G1" s="8" t="s">
        <v>344</v>
      </c>
      <c r="H1" s="8">
        <v>10101</v>
      </c>
      <c r="I1" s="10">
        <v>46192</v>
      </c>
      <c r="J1" s="10">
        <v>46192</v>
      </c>
      <c r="K1" s="11">
        <v>0.42430555555555555</v>
      </c>
      <c r="L1" s="8">
        <v>2026</v>
      </c>
      <c r="M1" s="8">
        <v>6</v>
      </c>
      <c r="N1" s="8" t="s">
        <v>30</v>
      </c>
      <c r="O1" s="8" t="s">
        <v>345</v>
      </c>
      <c r="P1" s="12" t="s">
        <v>346</v>
      </c>
      <c r="Q1" s="8" t="s">
        <v>347</v>
      </c>
      <c r="R1" s="1" t="s">
        <v>348</v>
      </c>
      <c r="S1" s="8" t="s">
        <v>349</v>
      </c>
      <c r="T1" s="9"/>
      <c r="V1" t="str" cm="1">
        <f t="array" ref="V1">ExtraerHipervinculo(R1)</f>
        <v>https://oxxo-colombia.oneapp.cl/static/img/Respuesta/61167871/5160fe0041f643f0e720405bccddf42c.jpg</v>
      </c>
    </row>
    <row r="2" spans="1:22" ht="53" thickBot="1" x14ac:dyDescent="0.4">
      <c r="A2" s="8">
        <v>3556039</v>
      </c>
      <c r="B2" s="8" t="s">
        <v>340</v>
      </c>
      <c r="C2" s="9"/>
      <c r="D2" s="8" t="s">
        <v>341</v>
      </c>
      <c r="E2" s="8" t="s">
        <v>342</v>
      </c>
      <c r="F2" s="8" t="s">
        <v>343</v>
      </c>
      <c r="G2" s="8" t="s">
        <v>344</v>
      </c>
      <c r="H2" s="8">
        <v>10101</v>
      </c>
      <c r="I2" s="10">
        <v>46192</v>
      </c>
      <c r="J2" s="10">
        <v>46192</v>
      </c>
      <c r="K2" s="11">
        <v>0.43958333333333333</v>
      </c>
      <c r="L2" s="8">
        <v>2026</v>
      </c>
      <c r="M2" s="8">
        <v>6</v>
      </c>
      <c r="N2" s="8" t="s">
        <v>30</v>
      </c>
      <c r="O2" s="8" t="s">
        <v>345</v>
      </c>
      <c r="P2" s="12" t="s">
        <v>346</v>
      </c>
      <c r="Q2" s="8" t="s">
        <v>350</v>
      </c>
      <c r="R2" s="1" t="s">
        <v>348</v>
      </c>
      <c r="S2" s="8" t="s">
        <v>351</v>
      </c>
      <c r="T2" s="9"/>
      <c r="V2" t="str" cm="1">
        <f t="array" ref="V2">ExtraerHipervinculo(R2)</f>
        <v>https://oxxo-colombia.oneapp.cl/static/img/Respuesta/61169370/24c75b247668933e2e747b48308fcb1e.jpg</v>
      </c>
    </row>
    <row r="3" spans="1:22" ht="53" thickBot="1" x14ac:dyDescent="0.4">
      <c r="A3" s="8">
        <v>3556051</v>
      </c>
      <c r="B3" s="8" t="s">
        <v>352</v>
      </c>
      <c r="C3" s="9"/>
      <c r="D3" s="8" t="s">
        <v>353</v>
      </c>
      <c r="E3" s="8" t="s">
        <v>342</v>
      </c>
      <c r="F3" s="8" t="s">
        <v>343</v>
      </c>
      <c r="G3" s="8" t="s">
        <v>354</v>
      </c>
      <c r="H3" s="8">
        <v>33333</v>
      </c>
      <c r="I3" s="10">
        <v>46192</v>
      </c>
      <c r="J3" s="10">
        <v>46192</v>
      </c>
      <c r="K3" s="11">
        <v>0.44722222222222224</v>
      </c>
      <c r="L3" s="8">
        <v>2026</v>
      </c>
      <c r="M3" s="8">
        <v>6</v>
      </c>
      <c r="N3" s="8" t="s">
        <v>30</v>
      </c>
      <c r="O3" s="8" t="s">
        <v>345</v>
      </c>
      <c r="P3" s="12" t="s">
        <v>346</v>
      </c>
      <c r="Q3" s="8" t="s">
        <v>355</v>
      </c>
      <c r="R3" s="1" t="s">
        <v>348</v>
      </c>
      <c r="S3" s="8" t="s">
        <v>356</v>
      </c>
      <c r="T3" s="9"/>
      <c r="V3" t="str" cm="1">
        <f t="array" ref="V3">ExtraerHipervinculo(R3)</f>
        <v>https://oxxo-colombia.oneapp.cl/static/img/Respuesta/61169766/f54fac2058f1766ffdba08335c6507cb.jpg</v>
      </c>
    </row>
    <row r="4" spans="1:22" ht="66" thickBot="1" x14ac:dyDescent="0.4">
      <c r="A4" s="8">
        <v>3556166</v>
      </c>
      <c r="B4" s="8" t="s">
        <v>339</v>
      </c>
      <c r="C4" s="9"/>
      <c r="D4" s="8" t="s">
        <v>357</v>
      </c>
      <c r="E4" s="8" t="s">
        <v>342</v>
      </c>
      <c r="F4" s="8" t="s">
        <v>343</v>
      </c>
      <c r="G4" s="8" t="s">
        <v>358</v>
      </c>
      <c r="H4" s="8">
        <v>99999</v>
      </c>
      <c r="I4" s="10">
        <v>46192</v>
      </c>
      <c r="J4" s="10">
        <v>46192</v>
      </c>
      <c r="K4" s="11">
        <v>0.54374999999999996</v>
      </c>
      <c r="L4" s="8">
        <v>2026</v>
      </c>
      <c r="M4" s="8">
        <v>6</v>
      </c>
      <c r="N4" s="8" t="s">
        <v>30</v>
      </c>
      <c r="O4" s="8" t="s">
        <v>345</v>
      </c>
      <c r="P4" s="12" t="s">
        <v>346</v>
      </c>
      <c r="Q4" s="8" t="s">
        <v>359</v>
      </c>
      <c r="R4" s="1" t="s">
        <v>348</v>
      </c>
      <c r="S4" s="8" t="s">
        <v>360</v>
      </c>
      <c r="T4" s="9"/>
      <c r="V4" t="str" cm="1">
        <f t="array" ref="V4">ExtraerHipervinculo(R4)</f>
        <v>https://oxxo-colombia.oneapp.cl/static/img/Respuesta/61174941/ce28ceab02b85d03b664deed5b0055e3.jpg</v>
      </c>
    </row>
  </sheetData>
  <hyperlinks>
    <hyperlink ref="R1" r:id="rId1" display="https://oxxo-colombia.oneapp.cl/static/img/Respuesta/61167871/5160fe0041f643f0e720405bccddf42c.jpg" xr:uid="{7B59C338-7C32-48A1-82C0-D17F5E3B9728}"/>
    <hyperlink ref="R2" r:id="rId2" display="https://oxxo-colombia.oneapp.cl/static/img/Respuesta/61169370/24c75b247668933e2e747b48308fcb1e.jpg" xr:uid="{4728F62C-1A72-4645-B800-EB7523295FE0}"/>
    <hyperlink ref="R3" r:id="rId3" display="https://oxxo-colombia.oneapp.cl/static/img/Respuesta/61169766/f54fac2058f1766ffdba08335c6507cb.jpg" xr:uid="{9751CF6D-69FB-4188-B01D-F5FF6671520C}"/>
    <hyperlink ref="R4" r:id="rId4" display="https://oxxo-colombia.oneapp.cl/static/img/Respuesta/61174941/ce28ceab02b85d03b664deed5b0055e3.jpg" xr:uid="{1DCD86A7-C9A5-41EC-A624-E297C6CDDE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6BFB4-0438-46CA-8950-6F60AA269E8A}">
  <dimension ref="A1:J20"/>
  <sheetViews>
    <sheetView workbookViewId="0">
      <selection activeCell="G2" sqref="G2"/>
    </sheetView>
  </sheetViews>
  <sheetFormatPr baseColWidth="10" defaultColWidth="11.453125" defaultRowHeight="14.5" x14ac:dyDescent="0.35"/>
  <cols>
    <col min="1" max="1" width="35.54296875" bestFit="1" customWidth="1"/>
    <col min="2" max="3" width="11" bestFit="1" customWidth="1"/>
    <col min="4" max="4" width="6" bestFit="1" customWidth="1"/>
    <col min="5" max="5" width="11.26953125" bestFit="1" customWidth="1"/>
    <col min="6" max="6" width="14.1796875" bestFit="1" customWidth="1"/>
    <col min="7" max="9" width="7.453125" bestFit="1" customWidth="1"/>
  </cols>
  <sheetData>
    <row r="1" spans="1:10" x14ac:dyDescent="0.35">
      <c r="A1" s="17" t="s">
        <v>302</v>
      </c>
      <c r="B1" s="17" t="s">
        <v>303</v>
      </c>
      <c r="C1" s="17" t="s">
        <v>304</v>
      </c>
      <c r="D1" s="17" t="s">
        <v>305</v>
      </c>
      <c r="E1" s="17" t="s">
        <v>361</v>
      </c>
      <c r="F1" s="18" t="s">
        <v>362</v>
      </c>
      <c r="G1" s="17" t="s">
        <v>307</v>
      </c>
      <c r="H1" s="17" t="s">
        <v>308</v>
      </c>
      <c r="I1" s="17" t="s">
        <v>309</v>
      </c>
      <c r="J1" s="17" t="s">
        <v>301</v>
      </c>
    </row>
    <row r="2" spans="1:10" x14ac:dyDescent="0.35">
      <c r="A2" t="e" cm="1">
        <f t="array" ref="A2">_xlfn.UNIQUE(Visitas_Operaciones!#REF!)</f>
        <v>#REF!</v>
      </c>
      <c r="B2" t="s">
        <v>310</v>
      </c>
      <c r="C2" t="s">
        <v>311</v>
      </c>
      <c r="D2" t="s">
        <v>312</v>
      </c>
      <c r="E2">
        <v>8</v>
      </c>
      <c r="F2" s="13">
        <v>10</v>
      </c>
      <c r="G2" s="16">
        <f>COUNTIFS(Visitas_Operaciones!$B:$B,Visitas!$A2,Visitas_Operaciones!$AR:$AR,Visitas!G$1)</f>
        <v>0</v>
      </c>
      <c r="H2" s="16">
        <f>COUNTIFS(Visitas_Operaciones!$B:$B,Visitas!$A2,Visitas_Operaciones!$AR:$AR,Visitas!H$1)</f>
        <v>0</v>
      </c>
      <c r="I2" s="16">
        <f>COUNTIFS(Visitas_Operaciones!$B:$B,Visitas!$A2,Visitas_Operaciones!$AR:$AR,Visitas!I$1)</f>
        <v>0</v>
      </c>
      <c r="J2" s="16">
        <f>COUNTIFS(Visitas_Operaciones!$B:$B,Visitas!$A2,Visitas_Operaciones!$AR:$AR,Visitas!J$1)</f>
        <v>0</v>
      </c>
    </row>
    <row r="3" spans="1:10" x14ac:dyDescent="0.35">
      <c r="B3" t="s">
        <v>310</v>
      </c>
      <c r="C3" t="s">
        <v>313</v>
      </c>
      <c r="D3" t="s">
        <v>312</v>
      </c>
      <c r="E3">
        <v>8</v>
      </c>
      <c r="F3" s="13">
        <v>10</v>
      </c>
      <c r="G3" s="16">
        <f>COUNTIFS(Visitas_Operaciones!B:B,Visitas!A3,Visitas_Operaciones!AR:AR,Visitas!$G$1)</f>
        <v>0</v>
      </c>
      <c r="H3" s="16">
        <f>COUNTIFS(Visitas_Operaciones!B:B,Visitas!A3,Visitas_Operaciones!AR:AR,$H$1)</f>
        <v>0</v>
      </c>
      <c r="I3" s="16">
        <f>COUNTIFS(Visitas_Operaciones!$B:$B,Visitas!$A3,Visitas_Operaciones!$AR:$AR,Visitas!I$1)</f>
        <v>0</v>
      </c>
      <c r="J3" s="16">
        <f>COUNTIFS(Visitas_Operaciones!$B:$B,Visitas!$A3,Visitas_Operaciones!$AR:$AR,Visitas!J$1)</f>
        <v>0</v>
      </c>
    </row>
    <row r="4" spans="1:10" x14ac:dyDescent="0.35">
      <c r="B4" t="s">
        <v>310</v>
      </c>
      <c r="C4" t="s">
        <v>314</v>
      </c>
      <c r="F4" s="13"/>
      <c r="G4" s="16">
        <f>COUNTIFS(Visitas_Operaciones!B:B,Visitas!A4,Visitas_Operaciones!AR:AR,Visitas!$G$1)</f>
        <v>0</v>
      </c>
      <c r="H4" s="16">
        <f>COUNTIFS(Visitas_Operaciones!B:B,Visitas!A4,Visitas_Operaciones!AR:AR,$H$1)</f>
        <v>0</v>
      </c>
      <c r="I4" s="16">
        <f>COUNTIFS(Visitas_Operaciones!$B:$B,Visitas!$A4,Visitas_Operaciones!$AR:$AR,Visitas!I$1)</f>
        <v>0</v>
      </c>
      <c r="J4" s="16">
        <f>COUNTIFS(Visitas_Operaciones!$B:$B,Visitas!$A4,Visitas_Operaciones!$AR:$AR,Visitas!J$1)</f>
        <v>0</v>
      </c>
    </row>
    <row r="5" spans="1:10" x14ac:dyDescent="0.35">
      <c r="B5" t="s">
        <v>310</v>
      </c>
      <c r="C5" t="s">
        <v>315</v>
      </c>
      <c r="D5" t="s">
        <v>312</v>
      </c>
      <c r="E5">
        <v>8</v>
      </c>
      <c r="F5" s="13">
        <v>10</v>
      </c>
      <c r="G5" s="16">
        <f>COUNTIFS(Visitas_Operaciones!B:B,Visitas!A5,Visitas_Operaciones!AR:AR,Visitas!$G$1)</f>
        <v>0</v>
      </c>
      <c r="H5" s="16">
        <f>COUNTIFS(Visitas_Operaciones!B:B,Visitas!A5,Visitas_Operaciones!AR:AR,$H$1)</f>
        <v>0</v>
      </c>
      <c r="I5" s="16">
        <f>COUNTIFS(Visitas_Operaciones!$B:$B,Visitas!$A5,Visitas_Operaciones!$AR:$AR,Visitas!I$1)</f>
        <v>0</v>
      </c>
      <c r="J5" s="16">
        <f>COUNTIFS(Visitas_Operaciones!$B:$B,Visitas!$A5,Visitas_Operaciones!$AR:$AR,Visitas!J$1)</f>
        <v>0</v>
      </c>
    </row>
    <row r="6" spans="1:10" x14ac:dyDescent="0.35">
      <c r="B6" t="s">
        <v>310</v>
      </c>
      <c r="C6" t="s">
        <v>316</v>
      </c>
      <c r="D6" t="s">
        <v>312</v>
      </c>
      <c r="E6">
        <v>8</v>
      </c>
      <c r="F6" s="13">
        <v>10</v>
      </c>
      <c r="G6" s="16">
        <f>COUNTIFS(Visitas_Operaciones!B:B,Visitas!A6,Visitas_Operaciones!AR:AR,Visitas!$G$1)</f>
        <v>0</v>
      </c>
      <c r="H6" s="16">
        <f>COUNTIFS(Visitas_Operaciones!B:B,Visitas!A6,Visitas_Operaciones!AR:AR,$H$1)</f>
        <v>0</v>
      </c>
      <c r="I6" s="16">
        <f>COUNTIFS(Visitas_Operaciones!$B:$B,Visitas!$A6,Visitas_Operaciones!$AR:$AR,Visitas!I$1)</f>
        <v>0</v>
      </c>
      <c r="J6" s="16">
        <f>COUNTIFS(Visitas_Operaciones!$B:$B,Visitas!$A6,Visitas_Operaciones!$AR:$AR,Visitas!J$1)</f>
        <v>0</v>
      </c>
    </row>
    <row r="7" spans="1:10" x14ac:dyDescent="0.35">
      <c r="B7" t="s">
        <v>310</v>
      </c>
      <c r="C7" t="s">
        <v>317</v>
      </c>
      <c r="D7" t="s">
        <v>312</v>
      </c>
      <c r="E7">
        <v>8</v>
      </c>
      <c r="F7" s="13">
        <v>10</v>
      </c>
      <c r="G7" s="16">
        <f>COUNTIFS(Visitas_Operaciones!B:B,Visitas!A7,Visitas_Operaciones!AR:AR,Visitas!$G$1)</f>
        <v>0</v>
      </c>
      <c r="H7" s="16">
        <f>COUNTIFS(Visitas_Operaciones!B:B,Visitas!A7,Visitas_Operaciones!AR:AR,$H$1)</f>
        <v>0</v>
      </c>
      <c r="I7" s="16">
        <f>COUNTIFS(Visitas_Operaciones!$B:$B,Visitas!$A7,Visitas_Operaciones!$AR:$AR,Visitas!I$1)</f>
        <v>0</v>
      </c>
      <c r="J7" s="16">
        <f>COUNTIFS(Visitas_Operaciones!$B:$B,Visitas!$A7,Visitas_Operaciones!$AR:$AR,Visitas!J$1)</f>
        <v>0</v>
      </c>
    </row>
    <row r="8" spans="1:10" x14ac:dyDescent="0.35">
      <c r="B8" t="s">
        <v>312</v>
      </c>
      <c r="C8" t="s">
        <v>318</v>
      </c>
      <c r="F8" s="13"/>
      <c r="G8" s="16">
        <f>COUNTIFS(Visitas_Operaciones!B:B,Visitas!A8,Visitas_Operaciones!AR:AR,Visitas!$G$1)</f>
        <v>0</v>
      </c>
      <c r="H8" s="16">
        <f>COUNTIFS(Visitas_Operaciones!B:B,Visitas!A8,Visitas_Operaciones!AR:AR,$H$1)</f>
        <v>0</v>
      </c>
      <c r="I8" s="16">
        <f>COUNTIFS(Visitas_Operaciones!$B:$B,Visitas!$A8,Visitas_Operaciones!$AR:$AR,Visitas!I$1)</f>
        <v>0</v>
      </c>
      <c r="J8" s="16">
        <f>COUNTIFS(Visitas_Operaciones!$B:$B,Visitas!$A8,Visitas_Operaciones!$AR:$AR,Visitas!J$1)</f>
        <v>0</v>
      </c>
    </row>
    <row r="9" spans="1:10" x14ac:dyDescent="0.35">
      <c r="B9" t="s">
        <v>312</v>
      </c>
      <c r="C9" t="s">
        <v>319</v>
      </c>
      <c r="D9" t="s">
        <v>312</v>
      </c>
      <c r="E9" s="14">
        <f>(F9/5)*4</f>
        <v>26.4</v>
      </c>
      <c r="F9" s="13">
        <v>33</v>
      </c>
      <c r="G9" s="16">
        <f>COUNTIFS(Visitas_Operaciones!B:B,Visitas!A9,Visitas_Operaciones!AR:AR,Visitas!$G$1)</f>
        <v>0</v>
      </c>
      <c r="H9" s="16">
        <f>COUNTIFS(Visitas_Operaciones!B:B,Visitas!A9,Visitas_Operaciones!AR:AR,$H$1)</f>
        <v>0</v>
      </c>
      <c r="I9" s="16">
        <f>COUNTIFS(Visitas_Operaciones!$B:$B,Visitas!$A9,Visitas_Operaciones!$AR:$AR,Visitas!I$1)</f>
        <v>0</v>
      </c>
      <c r="J9" s="16">
        <f>COUNTIFS(Visitas_Operaciones!$B:$B,Visitas!$A9,Visitas_Operaciones!$AR:$AR,Visitas!J$1)</f>
        <v>0</v>
      </c>
    </row>
    <row r="10" spans="1:10" x14ac:dyDescent="0.35">
      <c r="B10" t="s">
        <v>310</v>
      </c>
      <c r="C10" t="s">
        <v>320</v>
      </c>
      <c r="D10" t="s">
        <v>312</v>
      </c>
      <c r="E10">
        <v>8</v>
      </c>
      <c r="F10" s="13">
        <v>10</v>
      </c>
      <c r="G10" s="16">
        <f>COUNTIFS(Visitas_Operaciones!B:B,Visitas!A10,Visitas_Operaciones!AR:AR,Visitas!$G$1)</f>
        <v>0</v>
      </c>
      <c r="H10" s="16">
        <f>COUNTIFS(Visitas_Operaciones!B:B,Visitas!A10,Visitas_Operaciones!AR:AR,$H$1)</f>
        <v>0</v>
      </c>
      <c r="I10" s="16">
        <f>COUNTIFS(Visitas_Operaciones!$B:$B,Visitas!$A10,Visitas_Operaciones!$AR:$AR,Visitas!I$1)</f>
        <v>0</v>
      </c>
      <c r="J10" s="16">
        <f>COUNTIFS(Visitas_Operaciones!$B:$B,Visitas!$A10,Visitas_Operaciones!$AR:$AR,Visitas!J$1)</f>
        <v>0</v>
      </c>
    </row>
    <row r="11" spans="1:10" x14ac:dyDescent="0.35">
      <c r="B11" t="s">
        <v>312</v>
      </c>
      <c r="C11" t="s">
        <v>318</v>
      </c>
      <c r="D11" t="s">
        <v>312</v>
      </c>
      <c r="E11" s="14">
        <f>(F11/5)*4</f>
        <v>13.333333333333281</v>
      </c>
      <c r="F11" s="13">
        <v>16.6666666666666</v>
      </c>
      <c r="G11" s="16">
        <f>COUNTIFS(Visitas_Operaciones!B:B,Visitas!A11,Visitas_Operaciones!AR:AR,Visitas!$G$1)</f>
        <v>0</v>
      </c>
      <c r="H11" s="16">
        <f>COUNTIFS(Visitas_Operaciones!B:B,Visitas!A11,Visitas_Operaciones!AR:AR,$H$1)</f>
        <v>0</v>
      </c>
      <c r="I11" s="16">
        <f>COUNTIFS(Visitas_Operaciones!$B:$B,Visitas!$A11,Visitas_Operaciones!$AR:$AR,Visitas!I$1)</f>
        <v>0</v>
      </c>
      <c r="J11" s="16">
        <f>COUNTIFS(Visitas_Operaciones!$B:$B,Visitas!$A11,Visitas_Operaciones!$AR:$AR,Visitas!J$1)</f>
        <v>0</v>
      </c>
    </row>
    <row r="12" spans="1:10" x14ac:dyDescent="0.35">
      <c r="B12" t="s">
        <v>312</v>
      </c>
      <c r="C12" t="s">
        <v>321</v>
      </c>
      <c r="F12" s="13"/>
      <c r="G12" s="16">
        <f>COUNTIFS(Visitas_Operaciones!B:B,Visitas!A12,Visitas_Operaciones!AR:AR,Visitas!$G$1)</f>
        <v>0</v>
      </c>
      <c r="H12" s="16">
        <f>COUNTIFS(Visitas_Operaciones!B:B,Visitas!A12,Visitas_Operaciones!AR:AR,$H$1)</f>
        <v>0</v>
      </c>
      <c r="I12" s="16">
        <f>COUNTIFS(Visitas_Operaciones!$B:$B,Visitas!$A12,Visitas_Operaciones!$AR:$AR,Visitas!I$1)</f>
        <v>0</v>
      </c>
      <c r="J12" s="16">
        <f>COUNTIFS(Visitas_Operaciones!$B:$B,Visitas!$A12,Visitas_Operaciones!$AR:$AR,Visitas!J$1)</f>
        <v>0</v>
      </c>
    </row>
    <row r="13" spans="1:10" x14ac:dyDescent="0.35">
      <c r="B13" t="s">
        <v>312</v>
      </c>
      <c r="C13" t="s">
        <v>318</v>
      </c>
      <c r="D13" t="s">
        <v>312</v>
      </c>
      <c r="E13" s="14">
        <f>(F13/5)*4</f>
        <v>13.333333333333281</v>
      </c>
      <c r="F13" s="13">
        <v>16.6666666666666</v>
      </c>
      <c r="G13" s="16">
        <f>COUNTIFS(Visitas_Operaciones!B:B,Visitas!A13,Visitas_Operaciones!AR:AR,Visitas!$G$1)</f>
        <v>0</v>
      </c>
      <c r="H13" s="16">
        <f>COUNTIFS(Visitas_Operaciones!B:B,Visitas!A13,Visitas_Operaciones!AR:AR,$H$1)</f>
        <v>0</v>
      </c>
      <c r="I13" s="16">
        <f>COUNTIFS(Visitas_Operaciones!$B:$B,Visitas!$A13,Visitas_Operaciones!$AR:$AR,Visitas!I$1)</f>
        <v>0</v>
      </c>
      <c r="J13" s="16">
        <f>COUNTIFS(Visitas_Operaciones!$B:$B,Visitas!$A13,Visitas_Operaciones!$AR:$AR,Visitas!J$1)</f>
        <v>0</v>
      </c>
    </row>
    <row r="14" spans="1:10" x14ac:dyDescent="0.35">
      <c r="B14" t="s">
        <v>312</v>
      </c>
      <c r="C14" t="s">
        <v>322</v>
      </c>
      <c r="F14" s="13"/>
      <c r="G14" s="16">
        <f>COUNTIFS(Visitas_Operaciones!B:B,Visitas!A14,Visitas_Operaciones!AR:AR,Visitas!$G$1)</f>
        <v>0</v>
      </c>
      <c r="H14" s="16">
        <f>COUNTIFS(Visitas_Operaciones!B:B,Visitas!A14,Visitas_Operaciones!AR:AR,$H$1)</f>
        <v>0</v>
      </c>
      <c r="I14" s="16">
        <f>COUNTIFS(Visitas_Operaciones!$B:$B,Visitas!$A14,Visitas_Operaciones!$AR:$AR,Visitas!I$1)</f>
        <v>0</v>
      </c>
      <c r="J14" s="16">
        <f>COUNTIFS(Visitas_Operaciones!$B:$B,Visitas!$A14,Visitas_Operaciones!$AR:$AR,Visitas!J$1)</f>
        <v>0</v>
      </c>
    </row>
    <row r="15" spans="1:10" x14ac:dyDescent="0.35">
      <c r="B15" t="s">
        <v>312</v>
      </c>
      <c r="C15" t="s">
        <v>322</v>
      </c>
      <c r="F15" s="13"/>
      <c r="G15" s="16">
        <f>COUNTIFS(Visitas_Operaciones!B:B,Visitas!A15,Visitas_Operaciones!AR:AR,Visitas!$G$1)</f>
        <v>0</v>
      </c>
      <c r="H15" s="16">
        <f>COUNTIFS(Visitas_Operaciones!B:B,Visitas!A15,Visitas_Operaciones!AR:AR,$H$1)</f>
        <v>0</v>
      </c>
      <c r="I15" s="16">
        <f>COUNTIFS(Visitas_Operaciones!$B:$B,Visitas!$A15,Visitas_Operaciones!$AR:$AR,Visitas!I$1)</f>
        <v>0</v>
      </c>
      <c r="J15" s="16">
        <f>COUNTIFS(Visitas_Operaciones!$B:$B,Visitas!$A15,Visitas_Operaciones!$AR:$AR,Visitas!J$1)</f>
        <v>0</v>
      </c>
    </row>
    <row r="16" spans="1:10" x14ac:dyDescent="0.35">
      <c r="B16" t="s">
        <v>310</v>
      </c>
      <c r="C16" t="s">
        <v>323</v>
      </c>
      <c r="F16" s="13"/>
      <c r="G16" s="16">
        <f>COUNTIFS(Visitas_Operaciones!B:B,Visitas!A16,Visitas_Operaciones!AR:AR,Visitas!$G$1)</f>
        <v>0</v>
      </c>
      <c r="H16" s="16">
        <f>COUNTIFS(Visitas_Operaciones!B:B,Visitas!A16,Visitas_Operaciones!AR:AR,$H$1)</f>
        <v>0</v>
      </c>
      <c r="I16" s="16">
        <f>COUNTIFS(Visitas_Operaciones!$B:$B,Visitas!$A16,Visitas_Operaciones!$AR:$AR,Visitas!I$1)</f>
        <v>0</v>
      </c>
      <c r="J16" s="16">
        <f>COUNTIFS(Visitas_Operaciones!$B:$B,Visitas!$A16,Visitas_Operaciones!$AR:$AR,Visitas!J$1)</f>
        <v>0</v>
      </c>
    </row>
    <row r="17" spans="1:10" x14ac:dyDescent="0.35">
      <c r="B17" t="s">
        <v>312</v>
      </c>
      <c r="C17" t="s">
        <v>322</v>
      </c>
      <c r="D17" t="s">
        <v>312</v>
      </c>
      <c r="E17" s="14">
        <f>(F17/5)*4</f>
        <v>13.333333200000002</v>
      </c>
      <c r="F17" s="13">
        <v>16.666666500000002</v>
      </c>
      <c r="G17" s="16">
        <f>COUNTIFS(Visitas_Operaciones!B:B,Visitas!A17,Visitas_Operaciones!AR:AR,Visitas!$G$1)</f>
        <v>0</v>
      </c>
      <c r="H17" s="16">
        <f>COUNTIFS(Visitas_Operaciones!B:B,Visitas!A17,Visitas_Operaciones!AR:AR,$H$1)</f>
        <v>0</v>
      </c>
      <c r="I17" s="16">
        <f>COUNTIFS(Visitas_Operaciones!$B:$B,Visitas!$A17,Visitas_Operaciones!$AR:$AR,Visitas!I$1)</f>
        <v>0</v>
      </c>
      <c r="J17" s="16">
        <f>COUNTIFS(Visitas_Operaciones!$B:$B,Visitas!$A17,Visitas_Operaciones!$AR:$AR,Visitas!J$1)</f>
        <v>0</v>
      </c>
    </row>
    <row r="18" spans="1:10" x14ac:dyDescent="0.35">
      <c r="B18" t="s">
        <v>310</v>
      </c>
      <c r="C18" t="s">
        <v>324</v>
      </c>
      <c r="D18" t="s">
        <v>312</v>
      </c>
      <c r="E18">
        <v>8</v>
      </c>
      <c r="F18" s="13">
        <v>10</v>
      </c>
      <c r="G18" s="16">
        <f>COUNTIFS(Visitas_Operaciones!B:B,Visitas!A18,Visitas_Operaciones!AR:AR,Visitas!$G$1)</f>
        <v>0</v>
      </c>
      <c r="H18" s="16">
        <f>COUNTIFS(Visitas_Operaciones!B:B,Visitas!A18,Visitas_Operaciones!AR:AR,$H$1)</f>
        <v>0</v>
      </c>
      <c r="I18" s="16">
        <f>COUNTIFS(Visitas_Operaciones!$B:$B,Visitas!$A18,Visitas_Operaciones!$AR:$AR,Visitas!I$1)</f>
        <v>0</v>
      </c>
      <c r="J18" s="16">
        <f>COUNTIFS(Visitas_Operaciones!$B:$B,Visitas!$A18,Visitas_Operaciones!$AR:$AR,Visitas!J$1)</f>
        <v>0</v>
      </c>
    </row>
    <row r="19" spans="1:10" x14ac:dyDescent="0.35">
      <c r="A19" t="s">
        <v>325</v>
      </c>
      <c r="B19" t="s">
        <v>312</v>
      </c>
      <c r="C19" t="s">
        <v>322</v>
      </c>
      <c r="D19" t="s">
        <v>312</v>
      </c>
      <c r="E19" s="14">
        <f>(F19/5)*4</f>
        <v>13.333333200000002</v>
      </c>
      <c r="F19" s="13">
        <v>16.666666500000002</v>
      </c>
      <c r="G19" s="16">
        <f>COUNTIFS(Visitas_Operaciones!B:B,Visitas!A19,Visitas_Operaciones!AR:AR,Visitas!$G$1)</f>
        <v>0</v>
      </c>
      <c r="H19" s="16">
        <f>COUNTIFS(Visitas_Operaciones!B:B,Visitas!A19,Visitas_Operaciones!AR:AR,$H$1)</f>
        <v>0</v>
      </c>
      <c r="I19" s="16">
        <f>COUNTIFS(Visitas_Operaciones!$B:$B,Visitas!$A19,Visitas_Operaciones!$AR:$AR,Visitas!I$1)</f>
        <v>0</v>
      </c>
      <c r="J19" s="16">
        <f>COUNTIFS(Visitas_Operaciones!$B:$B,Visitas!$A19,Visitas_Operaciones!$AR:$AR,Visitas!J$1)</f>
        <v>0</v>
      </c>
    </row>
    <row r="20" spans="1:10" x14ac:dyDescent="0.35">
      <c r="A20" s="16" t="s">
        <v>326</v>
      </c>
      <c r="B20" s="16"/>
      <c r="C20" s="16"/>
      <c r="D20" s="16"/>
      <c r="E20" s="16"/>
      <c r="F20" s="16"/>
      <c r="G20" s="16">
        <f>SUM(G2:G19)</f>
        <v>0</v>
      </c>
      <c r="H20" s="16">
        <f>SUM(H2:H19)</f>
        <v>0</v>
      </c>
      <c r="I20" s="16">
        <f>SUM(I2:I19)</f>
        <v>0</v>
      </c>
      <c r="J20" s="16">
        <f>SUM(J2:J19)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3BECF-59BE-4A82-8981-6ACB4888C778}">
  <dimension ref="A1:F5"/>
  <sheetViews>
    <sheetView workbookViewId="0">
      <selection activeCell="G24" sqref="G24"/>
    </sheetView>
  </sheetViews>
  <sheetFormatPr baseColWidth="10" defaultColWidth="11.453125" defaultRowHeight="14.5" x14ac:dyDescent="0.35"/>
  <cols>
    <col min="2" max="2" width="6.81640625" bestFit="1" customWidth="1"/>
    <col min="3" max="3" width="5.26953125" bestFit="1" customWidth="1"/>
    <col min="5" max="5" width="4.453125" bestFit="1" customWidth="1"/>
    <col min="6" max="6" width="12.81640625" bestFit="1" customWidth="1"/>
  </cols>
  <sheetData>
    <row r="1" spans="1:6" x14ac:dyDescent="0.35">
      <c r="A1" s="23" t="s">
        <v>363</v>
      </c>
      <c r="B1" s="24" t="s">
        <v>364</v>
      </c>
      <c r="C1" s="24" t="s">
        <v>365</v>
      </c>
      <c r="D1" s="24" t="s">
        <v>366</v>
      </c>
      <c r="E1" s="24" t="s">
        <v>367</v>
      </c>
      <c r="F1" s="24" t="s">
        <v>368</v>
      </c>
    </row>
    <row r="2" spans="1:6" x14ac:dyDescent="0.35">
      <c r="A2" s="17" t="s">
        <v>307</v>
      </c>
      <c r="B2" s="21" t="str">
        <f>IF(COUNTIF('Festivos Colombia 2025-2026'!$C$2:$C$37,A2)&gt;0,"SI","NO")</f>
        <v>NO</v>
      </c>
      <c r="C2" s="20" t="str">
        <f>IF(B2="NO","170","136")</f>
        <v>170</v>
      </c>
      <c r="D2" s="19">
        <f>COUNTIF(Visitas_Operaciones!$AR:$AR,'Cumplimiento Visitas'!A2)</f>
        <v>0</v>
      </c>
      <c r="E2" s="20" t="e">
        <f>_xlfn.XLOOKUP(A2,Visitas_Operaciones!$AR:$AR,Visitas_Operaciones!$AP:$AP)</f>
        <v>#N/A</v>
      </c>
      <c r="F2" s="22">
        <f>D2/C2</f>
        <v>0</v>
      </c>
    </row>
    <row r="3" spans="1:6" x14ac:dyDescent="0.35">
      <c r="A3" s="17" t="s">
        <v>308</v>
      </c>
      <c r="B3" s="21" t="str">
        <f>IF(COUNTIF('Festivos Colombia 2025-2026'!$C$2:$C$37,A3)&gt;0,"SI","NO")</f>
        <v>SI</v>
      </c>
      <c r="C3" s="20" t="str">
        <f t="shared" ref="C3:C4" si="0">IF(B3="NO","170","136")</f>
        <v>136</v>
      </c>
      <c r="D3" s="19">
        <f>COUNTIF(Visitas_Operaciones!$AR:$AR,'Cumplimiento Visitas'!A3)</f>
        <v>0</v>
      </c>
      <c r="E3" s="20" t="e">
        <f>_xlfn.XLOOKUP(A3,Visitas_Operaciones!$AR:$AR,Visitas_Operaciones!$AP:$AP)</f>
        <v>#N/A</v>
      </c>
      <c r="F3" s="22">
        <f t="shared" ref="F3:F4" si="1">D3/C3</f>
        <v>0</v>
      </c>
    </row>
    <row r="4" spans="1:6" x14ac:dyDescent="0.35">
      <c r="A4" s="17" t="s">
        <v>309</v>
      </c>
      <c r="B4" s="21" t="str">
        <f>IF(COUNTIF('Festivos Colombia 2025-2026'!$C$2:$C$37,A4)&gt;0,"SI","NO")</f>
        <v>NO</v>
      </c>
      <c r="C4" s="20" t="str">
        <f t="shared" si="0"/>
        <v>170</v>
      </c>
      <c r="D4" s="19">
        <f>COUNTIF(Visitas_Operaciones!$AR:$AR,'Cumplimiento Visitas'!A4)</f>
        <v>0</v>
      </c>
      <c r="E4" s="20" t="e">
        <f>_xlfn.XLOOKUP(A4,Visitas_Operaciones!$AR:$AR,Visitas_Operaciones!$AP:$AP)</f>
        <v>#N/A</v>
      </c>
      <c r="F4" s="22">
        <f t="shared" si="1"/>
        <v>0</v>
      </c>
    </row>
    <row r="5" spans="1:6" x14ac:dyDescent="0.35">
      <c r="A5" s="17" t="s">
        <v>301</v>
      </c>
      <c r="B5" s="21" t="str">
        <f>IF(COUNTIF('Festivos Colombia 2025-2026'!$C$2:$C$37,A5)&gt;0,"SI","NO")</f>
        <v>SI</v>
      </c>
      <c r="C5" s="20" t="str">
        <f t="shared" ref="C5" si="2">IF(B5="NO","170","136")</f>
        <v>136</v>
      </c>
      <c r="D5" s="19">
        <f>COUNTIF(Visitas_Operaciones!$AR:$AR,'Cumplimiento Visitas'!A5)</f>
        <v>0</v>
      </c>
      <c r="E5" s="20" t="e">
        <f>_xlfn.XLOOKUP(A5,Visitas_Operaciones!$AR:$AR,Visitas_Operaciones!$AP:$AP)</f>
        <v>#N/A</v>
      </c>
      <c r="F5" s="22">
        <f t="shared" ref="F5" si="3">D5/C5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969E4-41C6-457B-BD78-C011DE18279B}">
  <dimension ref="A1:E5"/>
  <sheetViews>
    <sheetView workbookViewId="0">
      <selection activeCell="B5" sqref="B5"/>
    </sheetView>
  </sheetViews>
  <sheetFormatPr baseColWidth="10" defaultColWidth="11.453125" defaultRowHeight="14.5" x14ac:dyDescent="0.35"/>
  <cols>
    <col min="2" max="2" width="5.26953125" bestFit="1" customWidth="1"/>
    <col min="3" max="3" width="12.81640625" bestFit="1" customWidth="1"/>
    <col min="4" max="4" width="4.453125" bestFit="1" customWidth="1"/>
    <col min="5" max="5" width="12.81640625" bestFit="1" customWidth="1"/>
  </cols>
  <sheetData>
    <row r="1" spans="1:5" x14ac:dyDescent="0.35">
      <c r="A1" s="23" t="s">
        <v>363</v>
      </c>
      <c r="B1" s="24" t="s">
        <v>365</v>
      </c>
      <c r="C1" s="24" t="s">
        <v>369</v>
      </c>
      <c r="D1" s="24" t="s">
        <v>367</v>
      </c>
      <c r="E1" s="24" t="s">
        <v>368</v>
      </c>
    </row>
    <row r="2" spans="1:5" x14ac:dyDescent="0.35">
      <c r="A2" s="17" t="s">
        <v>307</v>
      </c>
      <c r="B2" s="20">
        <v>44</v>
      </c>
      <c r="C2" s="19">
        <f>Efectivos!F20</f>
        <v>23</v>
      </c>
      <c r="D2" s="20" t="e">
        <f>_xlfn.XLOOKUP(A2,Visitas_Operaciones!$AR:$AR,Visitas_Operaciones!$AP:$AP)</f>
        <v>#N/A</v>
      </c>
      <c r="E2" s="22">
        <f>C2/B2</f>
        <v>0.52272727272727271</v>
      </c>
    </row>
    <row r="3" spans="1:5" x14ac:dyDescent="0.35">
      <c r="A3" s="17" t="s">
        <v>308</v>
      </c>
      <c r="B3" s="20">
        <v>44</v>
      </c>
      <c r="C3" s="19">
        <f>Efectivos!G20</f>
        <v>6</v>
      </c>
      <c r="D3" s="20" t="e">
        <f>_xlfn.XLOOKUP(A3,Visitas_Operaciones!$AR:$AR,Visitas_Operaciones!$AP:$AP)</f>
        <v>#N/A</v>
      </c>
      <c r="E3" s="22">
        <f t="shared" ref="E3:E5" si="0">C3/B3</f>
        <v>0.13636363636363635</v>
      </c>
    </row>
    <row r="4" spans="1:5" x14ac:dyDescent="0.35">
      <c r="A4" s="17" t="s">
        <v>309</v>
      </c>
      <c r="B4" s="20">
        <v>44</v>
      </c>
      <c r="C4" s="19">
        <v>14</v>
      </c>
      <c r="D4" s="20" t="e">
        <f>_xlfn.XLOOKUP(A4,Visitas_Operaciones!$AR:$AR,Visitas_Operaciones!$AP:$AP)</f>
        <v>#N/A</v>
      </c>
      <c r="E4" s="22">
        <f t="shared" si="0"/>
        <v>0.31818181818181818</v>
      </c>
    </row>
    <row r="5" spans="1:5" x14ac:dyDescent="0.35">
      <c r="A5" s="17" t="s">
        <v>301</v>
      </c>
      <c r="B5" s="20">
        <v>44</v>
      </c>
      <c r="C5" s="19">
        <v>11</v>
      </c>
      <c r="D5" s="20" t="e">
        <f>_xlfn.XLOOKUP(A5,Visitas_Operaciones!$AR:$AR,Visitas_Operaciones!$AP:$AP)</f>
        <v>#N/A</v>
      </c>
      <c r="E5" s="22">
        <f t="shared" si="0"/>
        <v>0.25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007A4-B94D-4F83-AC2C-23E0BB1AD4F2}">
  <dimension ref="A1:D3"/>
  <sheetViews>
    <sheetView workbookViewId="0">
      <selection activeCell="B2" sqref="B2:B3"/>
    </sheetView>
  </sheetViews>
  <sheetFormatPr baseColWidth="10" defaultColWidth="11.453125" defaultRowHeight="14.5" x14ac:dyDescent="0.35"/>
  <cols>
    <col min="1" max="1" width="12.453125" bestFit="1" customWidth="1"/>
    <col min="2" max="2" width="16.54296875" bestFit="1" customWidth="1"/>
    <col min="3" max="3" width="16.7265625" bestFit="1" customWidth="1"/>
    <col min="5" max="5" width="12.453125" bestFit="1" customWidth="1"/>
  </cols>
  <sheetData>
    <row r="1" spans="1:4" x14ac:dyDescent="0.35">
      <c r="B1" s="15" t="s">
        <v>370</v>
      </c>
      <c r="C1" s="15" t="s">
        <v>371</v>
      </c>
      <c r="D1" s="15" t="s">
        <v>372</v>
      </c>
    </row>
    <row r="2" spans="1:4" x14ac:dyDescent="0.35">
      <c r="A2" t="s">
        <v>373</v>
      </c>
      <c r="B2" s="15">
        <v>33</v>
      </c>
      <c r="C2" s="15">
        <v>26</v>
      </c>
      <c r="D2" s="15">
        <v>2</v>
      </c>
    </row>
    <row r="3" spans="1:4" x14ac:dyDescent="0.35">
      <c r="A3" t="s">
        <v>302</v>
      </c>
      <c r="B3" s="15">
        <v>10</v>
      </c>
      <c r="C3" s="15">
        <v>8</v>
      </c>
      <c r="D3" s="15">
        <v>10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BC74E-BB85-42CF-9E9C-14206CFBF464}">
  <dimension ref="A1:G37"/>
  <sheetViews>
    <sheetView topLeftCell="A15" workbookViewId="0">
      <selection activeCell="A30" sqref="A30"/>
    </sheetView>
  </sheetViews>
  <sheetFormatPr baseColWidth="10" defaultColWidth="8.7265625" defaultRowHeight="14.5" x14ac:dyDescent="0.35"/>
  <cols>
    <col min="1" max="1" width="14" customWidth="1"/>
    <col min="2" max="2" width="12" customWidth="1"/>
    <col min="3" max="3" width="14" customWidth="1"/>
    <col min="4" max="4" width="17" customWidth="1"/>
    <col min="5" max="5" width="13" customWidth="1"/>
    <col min="6" max="6" width="43" customWidth="1"/>
    <col min="7" max="7" width="28" customWidth="1"/>
  </cols>
  <sheetData>
    <row r="1" spans="1:7" ht="26.15" customHeight="1" x14ac:dyDescent="0.35">
      <c r="A1" s="7" t="s">
        <v>363</v>
      </c>
      <c r="B1" s="7" t="s">
        <v>6</v>
      </c>
      <c r="C1" s="7" t="s">
        <v>374</v>
      </c>
      <c r="D1" s="7" t="s">
        <v>375</v>
      </c>
      <c r="E1" s="7" t="s">
        <v>376</v>
      </c>
      <c r="F1" s="7" t="s">
        <v>377</v>
      </c>
      <c r="G1" s="7" t="s">
        <v>378</v>
      </c>
    </row>
    <row r="2" spans="1:7" x14ac:dyDescent="0.35">
      <c r="A2" s="5">
        <v>1</v>
      </c>
      <c r="B2" s="5">
        <v>2025</v>
      </c>
      <c r="C2" s="5" t="str">
        <f t="shared" ref="C2:C37" si="0">_xlfn.CONCAT(A2,"-",B2)</f>
        <v>1-2025</v>
      </c>
      <c r="D2" s="5" t="s">
        <v>379</v>
      </c>
      <c r="E2" s="5" t="s">
        <v>380</v>
      </c>
      <c r="F2" s="6" t="s">
        <v>381</v>
      </c>
      <c r="G2" s="6" t="s">
        <v>382</v>
      </c>
    </row>
    <row r="3" spans="1:7" x14ac:dyDescent="0.35">
      <c r="A3" s="4">
        <v>2</v>
      </c>
      <c r="B3" s="4">
        <v>2025</v>
      </c>
      <c r="C3" s="5" t="str">
        <f t="shared" si="0"/>
        <v>2-2025</v>
      </c>
      <c r="D3" s="4" t="s">
        <v>383</v>
      </c>
      <c r="E3" s="4" t="s">
        <v>384</v>
      </c>
      <c r="F3" s="3" t="s">
        <v>385</v>
      </c>
      <c r="G3" s="3" t="s">
        <v>386</v>
      </c>
    </row>
    <row r="4" spans="1:7" x14ac:dyDescent="0.35">
      <c r="A4" s="5">
        <v>13</v>
      </c>
      <c r="B4" s="5">
        <v>2025</v>
      </c>
      <c r="C4" s="5" t="str">
        <f t="shared" si="0"/>
        <v>13-2025</v>
      </c>
      <c r="D4" s="5" t="s">
        <v>387</v>
      </c>
      <c r="E4" s="5" t="s">
        <v>384</v>
      </c>
      <c r="F4" s="6" t="s">
        <v>388</v>
      </c>
      <c r="G4" s="6" t="s">
        <v>386</v>
      </c>
    </row>
    <row r="5" spans="1:7" x14ac:dyDescent="0.35">
      <c r="A5" s="4">
        <v>16</v>
      </c>
      <c r="B5" s="4">
        <v>2025</v>
      </c>
      <c r="C5" s="5" t="str">
        <f t="shared" si="0"/>
        <v>16-2025</v>
      </c>
      <c r="D5" s="4" t="s">
        <v>389</v>
      </c>
      <c r="E5" s="4" t="s">
        <v>390</v>
      </c>
      <c r="F5" s="3" t="s">
        <v>391</v>
      </c>
      <c r="G5" s="3" t="s">
        <v>392</v>
      </c>
    </row>
    <row r="6" spans="1:7" x14ac:dyDescent="0.35">
      <c r="A6" s="5">
        <v>16</v>
      </c>
      <c r="B6" s="5">
        <v>2025</v>
      </c>
      <c r="C6" s="5" t="str">
        <f t="shared" si="0"/>
        <v>16-2025</v>
      </c>
      <c r="D6" s="5" t="s">
        <v>393</v>
      </c>
      <c r="E6" s="5" t="s">
        <v>394</v>
      </c>
      <c r="F6" s="6" t="s">
        <v>395</v>
      </c>
      <c r="G6" s="6" t="s">
        <v>392</v>
      </c>
    </row>
    <row r="7" spans="1:7" x14ac:dyDescent="0.35">
      <c r="A7" s="4">
        <v>18</v>
      </c>
      <c r="B7" s="4">
        <v>2025</v>
      </c>
      <c r="C7" s="5" t="str">
        <f t="shared" si="0"/>
        <v>18-2025</v>
      </c>
      <c r="D7" s="4" t="s">
        <v>396</v>
      </c>
      <c r="E7" s="4" t="s">
        <v>390</v>
      </c>
      <c r="F7" s="3" t="s">
        <v>397</v>
      </c>
      <c r="G7" s="3" t="s">
        <v>382</v>
      </c>
    </row>
    <row r="8" spans="1:7" x14ac:dyDescent="0.35">
      <c r="A8" s="5">
        <v>23</v>
      </c>
      <c r="B8" s="5">
        <v>2025</v>
      </c>
      <c r="C8" s="5" t="str">
        <f t="shared" si="0"/>
        <v>23-2025</v>
      </c>
      <c r="D8" s="5" t="s">
        <v>398</v>
      </c>
      <c r="E8" s="5" t="s">
        <v>384</v>
      </c>
      <c r="F8" s="6" t="s">
        <v>399</v>
      </c>
      <c r="G8" s="6" t="s">
        <v>386</v>
      </c>
    </row>
    <row r="9" spans="1:7" x14ac:dyDescent="0.35">
      <c r="A9" s="4">
        <v>26</v>
      </c>
      <c r="B9" s="4">
        <v>2025</v>
      </c>
      <c r="C9" s="5" t="str">
        <f t="shared" si="0"/>
        <v>26-2025</v>
      </c>
      <c r="D9" s="4" t="s">
        <v>400</v>
      </c>
      <c r="E9" s="4" t="s">
        <v>384</v>
      </c>
      <c r="F9" s="3" t="s">
        <v>401</v>
      </c>
      <c r="G9" s="3" t="s">
        <v>386</v>
      </c>
    </row>
    <row r="10" spans="1:7" x14ac:dyDescent="0.35">
      <c r="A10" s="5">
        <v>27</v>
      </c>
      <c r="B10" s="5">
        <v>2025</v>
      </c>
      <c r="C10" s="5" t="str">
        <f t="shared" si="0"/>
        <v>27-2025</v>
      </c>
      <c r="D10" s="5" t="s">
        <v>402</v>
      </c>
      <c r="E10" s="5" t="s">
        <v>384</v>
      </c>
      <c r="F10" s="6" t="s">
        <v>403</v>
      </c>
      <c r="G10" s="6" t="s">
        <v>386</v>
      </c>
    </row>
    <row r="11" spans="1:7" x14ac:dyDescent="0.35">
      <c r="A11" s="4">
        <v>30</v>
      </c>
      <c r="B11" s="4">
        <v>2025</v>
      </c>
      <c r="C11" s="5" t="str">
        <f t="shared" si="0"/>
        <v>30-2025</v>
      </c>
      <c r="D11" s="4" t="s">
        <v>404</v>
      </c>
      <c r="E11" s="4" t="s">
        <v>405</v>
      </c>
      <c r="F11" s="3" t="s">
        <v>406</v>
      </c>
      <c r="G11" s="3" t="s">
        <v>382</v>
      </c>
    </row>
    <row r="12" spans="1:7" x14ac:dyDescent="0.35">
      <c r="A12" s="5">
        <v>32</v>
      </c>
      <c r="B12" s="5">
        <v>2025</v>
      </c>
      <c r="C12" s="5" t="str">
        <f t="shared" si="0"/>
        <v>32-2025</v>
      </c>
      <c r="D12" s="5" t="s">
        <v>407</v>
      </c>
      <c r="E12" s="5" t="s">
        <v>390</v>
      </c>
      <c r="F12" s="6" t="s">
        <v>408</v>
      </c>
      <c r="G12" s="6" t="s">
        <v>382</v>
      </c>
    </row>
    <row r="13" spans="1:7" x14ac:dyDescent="0.35">
      <c r="A13" s="4">
        <v>34</v>
      </c>
      <c r="B13" s="4">
        <v>2025</v>
      </c>
      <c r="C13" s="5" t="str">
        <f t="shared" si="0"/>
        <v>34-2025</v>
      </c>
      <c r="D13" s="4" t="s">
        <v>409</v>
      </c>
      <c r="E13" s="4" t="s">
        <v>384</v>
      </c>
      <c r="F13" s="3" t="s">
        <v>410</v>
      </c>
      <c r="G13" s="3" t="s">
        <v>386</v>
      </c>
    </row>
    <row r="14" spans="1:7" x14ac:dyDescent="0.35">
      <c r="A14" s="5">
        <v>42</v>
      </c>
      <c r="B14" s="5">
        <v>2025</v>
      </c>
      <c r="C14" s="5" t="str">
        <f t="shared" si="0"/>
        <v>42-2025</v>
      </c>
      <c r="D14" s="5" t="s">
        <v>411</v>
      </c>
      <c r="E14" s="5" t="s">
        <v>384</v>
      </c>
      <c r="F14" s="6" t="s">
        <v>412</v>
      </c>
      <c r="G14" s="6" t="s">
        <v>386</v>
      </c>
    </row>
    <row r="15" spans="1:7" x14ac:dyDescent="0.35">
      <c r="A15" s="4">
        <v>45</v>
      </c>
      <c r="B15" s="4">
        <v>2025</v>
      </c>
      <c r="C15" s="5" t="str">
        <f t="shared" si="0"/>
        <v>45-2025</v>
      </c>
      <c r="D15" s="4" t="s">
        <v>413</v>
      </c>
      <c r="E15" s="4" t="s">
        <v>384</v>
      </c>
      <c r="F15" s="3" t="s">
        <v>414</v>
      </c>
      <c r="G15" s="3" t="s">
        <v>386</v>
      </c>
    </row>
    <row r="16" spans="1:7" x14ac:dyDescent="0.35">
      <c r="A16" s="5">
        <v>47</v>
      </c>
      <c r="B16" s="5">
        <v>2025</v>
      </c>
      <c r="C16" s="5" t="str">
        <f t="shared" si="0"/>
        <v>47-2025</v>
      </c>
      <c r="D16" s="5" t="s">
        <v>415</v>
      </c>
      <c r="E16" s="5" t="s">
        <v>384</v>
      </c>
      <c r="F16" s="6" t="s">
        <v>416</v>
      </c>
      <c r="G16" s="6" t="s">
        <v>386</v>
      </c>
    </row>
    <row r="17" spans="1:7" x14ac:dyDescent="0.35">
      <c r="A17" s="4">
        <v>50</v>
      </c>
      <c r="B17" s="4">
        <v>2025</v>
      </c>
      <c r="C17" s="5" t="str">
        <f t="shared" si="0"/>
        <v>50-2025</v>
      </c>
      <c r="D17" s="4" t="s">
        <v>417</v>
      </c>
      <c r="E17" s="4" t="s">
        <v>384</v>
      </c>
      <c r="F17" s="3" t="s">
        <v>418</v>
      </c>
      <c r="G17" s="3" t="s">
        <v>382</v>
      </c>
    </row>
    <row r="18" spans="1:7" x14ac:dyDescent="0.35">
      <c r="A18" s="5">
        <v>52</v>
      </c>
      <c r="B18" s="5">
        <v>2025</v>
      </c>
      <c r="C18" s="5" t="str">
        <f t="shared" si="0"/>
        <v>52-2025</v>
      </c>
      <c r="D18" s="5" t="s">
        <v>419</v>
      </c>
      <c r="E18" s="5" t="s">
        <v>390</v>
      </c>
      <c r="F18" s="6" t="s">
        <v>420</v>
      </c>
      <c r="G18" s="6" t="s">
        <v>382</v>
      </c>
    </row>
    <row r="19" spans="1:7" x14ac:dyDescent="0.35">
      <c r="A19" s="4">
        <v>1</v>
      </c>
      <c r="B19" s="4">
        <v>2026</v>
      </c>
      <c r="C19" s="5" t="str">
        <f t="shared" si="0"/>
        <v>1-2026</v>
      </c>
      <c r="D19" s="4" t="s">
        <v>421</v>
      </c>
      <c r="E19" s="4" t="s">
        <v>390</v>
      </c>
      <c r="F19" s="3" t="s">
        <v>381</v>
      </c>
      <c r="G19" s="3" t="s">
        <v>382</v>
      </c>
    </row>
    <row r="20" spans="1:7" x14ac:dyDescent="0.35">
      <c r="A20" s="5">
        <v>3</v>
      </c>
      <c r="B20" s="5">
        <v>2026</v>
      </c>
      <c r="C20" s="5" t="str">
        <f t="shared" si="0"/>
        <v>3-2026</v>
      </c>
      <c r="D20" s="5" t="s">
        <v>422</v>
      </c>
      <c r="E20" s="5" t="s">
        <v>384</v>
      </c>
      <c r="F20" s="6" t="s">
        <v>385</v>
      </c>
      <c r="G20" s="6" t="s">
        <v>386</v>
      </c>
    </row>
    <row r="21" spans="1:7" x14ac:dyDescent="0.35">
      <c r="A21" s="4">
        <v>13</v>
      </c>
      <c r="B21" s="4">
        <v>2026</v>
      </c>
      <c r="C21" s="5" t="str">
        <f t="shared" si="0"/>
        <v>13-2026</v>
      </c>
      <c r="D21" s="4" t="s">
        <v>423</v>
      </c>
      <c r="E21" s="4" t="s">
        <v>384</v>
      </c>
      <c r="F21" s="3" t="s">
        <v>388</v>
      </c>
      <c r="G21" s="3" t="s">
        <v>386</v>
      </c>
    </row>
    <row r="22" spans="1:7" x14ac:dyDescent="0.35">
      <c r="A22" s="5">
        <v>14</v>
      </c>
      <c r="B22" s="5">
        <v>2026</v>
      </c>
      <c r="C22" s="5" t="str">
        <f t="shared" si="0"/>
        <v>14-2026</v>
      </c>
      <c r="D22" s="5" t="s">
        <v>424</v>
      </c>
      <c r="E22" s="5" t="s">
        <v>390</v>
      </c>
      <c r="F22" s="6" t="s">
        <v>391</v>
      </c>
      <c r="G22" s="6" t="s">
        <v>392</v>
      </c>
    </row>
    <row r="23" spans="1:7" x14ac:dyDescent="0.35">
      <c r="A23" s="4">
        <v>14</v>
      </c>
      <c r="B23" s="4">
        <v>2026</v>
      </c>
      <c r="C23" s="5" t="str">
        <f t="shared" si="0"/>
        <v>14-2026</v>
      </c>
      <c r="D23" s="4" t="s">
        <v>425</v>
      </c>
      <c r="E23" s="4" t="s">
        <v>394</v>
      </c>
      <c r="F23" s="3" t="s">
        <v>395</v>
      </c>
      <c r="G23" s="3" t="s">
        <v>392</v>
      </c>
    </row>
    <row r="24" spans="1:7" x14ac:dyDescent="0.35">
      <c r="A24" s="5">
        <v>18</v>
      </c>
      <c r="B24" s="5">
        <v>2026</v>
      </c>
      <c r="C24" s="5" t="str">
        <f t="shared" si="0"/>
        <v>18-2026</v>
      </c>
      <c r="D24" s="5" t="s">
        <v>426</v>
      </c>
      <c r="E24" s="5" t="s">
        <v>394</v>
      </c>
      <c r="F24" s="6" t="s">
        <v>397</v>
      </c>
      <c r="G24" s="6" t="s">
        <v>382</v>
      </c>
    </row>
    <row r="25" spans="1:7" x14ac:dyDescent="0.35">
      <c r="A25" s="4">
        <v>21</v>
      </c>
      <c r="B25" s="4">
        <v>2026</v>
      </c>
      <c r="C25" s="5" t="str">
        <f t="shared" si="0"/>
        <v>21-2026</v>
      </c>
      <c r="D25" s="4" t="s">
        <v>427</v>
      </c>
      <c r="E25" s="4" t="s">
        <v>384</v>
      </c>
      <c r="F25" s="3" t="s">
        <v>428</v>
      </c>
      <c r="G25" s="3" t="s">
        <v>386</v>
      </c>
    </row>
    <row r="26" spans="1:7" x14ac:dyDescent="0.35">
      <c r="A26" s="5">
        <v>24</v>
      </c>
      <c r="B26" s="5">
        <v>2026</v>
      </c>
      <c r="C26" s="5" t="str">
        <f t="shared" si="0"/>
        <v>24-2026</v>
      </c>
      <c r="D26" s="5" t="s">
        <v>429</v>
      </c>
      <c r="E26" s="5" t="s">
        <v>384</v>
      </c>
      <c r="F26" s="6" t="s">
        <v>401</v>
      </c>
      <c r="G26" s="6" t="s">
        <v>386</v>
      </c>
    </row>
    <row r="27" spans="1:7" x14ac:dyDescent="0.35">
      <c r="A27" s="4">
        <v>25</v>
      </c>
      <c r="B27" s="4">
        <v>2026</v>
      </c>
      <c r="C27" s="5" t="str">
        <f t="shared" si="0"/>
        <v>25-2026</v>
      </c>
      <c r="D27" s="4" t="s">
        <v>430</v>
      </c>
      <c r="E27" s="4" t="s">
        <v>384</v>
      </c>
      <c r="F27" s="3" t="s">
        <v>431</v>
      </c>
      <c r="G27" s="3" t="s">
        <v>386</v>
      </c>
    </row>
    <row r="28" spans="1:7" x14ac:dyDescent="0.35">
      <c r="A28" s="5">
        <v>27</v>
      </c>
      <c r="B28" s="5">
        <v>2026</v>
      </c>
      <c r="C28" s="5" t="str">
        <f t="shared" si="0"/>
        <v>27-2026</v>
      </c>
      <c r="D28" s="5" t="s">
        <v>432</v>
      </c>
      <c r="E28" s="5" t="s">
        <v>384</v>
      </c>
      <c r="F28" s="6" t="s">
        <v>433</v>
      </c>
      <c r="G28" s="6" t="s">
        <v>386</v>
      </c>
    </row>
    <row r="29" spans="1:7" x14ac:dyDescent="0.35">
      <c r="A29" s="4">
        <v>29</v>
      </c>
      <c r="B29" s="4">
        <v>2026</v>
      </c>
      <c r="C29" s="5" t="str">
        <f t="shared" si="0"/>
        <v>29-2026</v>
      </c>
      <c r="D29" s="4" t="s">
        <v>434</v>
      </c>
      <c r="E29" s="4" t="s">
        <v>390</v>
      </c>
      <c r="F29" s="3" t="s">
        <v>435</v>
      </c>
      <c r="G29" s="3" t="s">
        <v>436</v>
      </c>
    </row>
    <row r="30" spans="1:7" x14ac:dyDescent="0.35">
      <c r="A30" s="5">
        <v>30</v>
      </c>
      <c r="B30" s="5">
        <v>2026</v>
      </c>
      <c r="C30" s="5" t="str">
        <f t="shared" si="0"/>
        <v>30-2026</v>
      </c>
      <c r="D30" s="5" t="s">
        <v>437</v>
      </c>
      <c r="E30" s="5" t="s">
        <v>384</v>
      </c>
      <c r="F30" s="6" t="s">
        <v>406</v>
      </c>
      <c r="G30" s="6" t="s">
        <v>382</v>
      </c>
    </row>
    <row r="31" spans="1:7" x14ac:dyDescent="0.35">
      <c r="A31" s="4">
        <v>32</v>
      </c>
      <c r="B31" s="4">
        <v>2026</v>
      </c>
      <c r="C31" s="5" t="str">
        <f t="shared" si="0"/>
        <v>32-2026</v>
      </c>
      <c r="D31" s="4" t="s">
        <v>438</v>
      </c>
      <c r="E31" s="4" t="s">
        <v>394</v>
      </c>
      <c r="F31" s="3" t="s">
        <v>408</v>
      </c>
      <c r="G31" s="3" t="s">
        <v>382</v>
      </c>
    </row>
    <row r="32" spans="1:7" x14ac:dyDescent="0.35">
      <c r="A32" s="5">
        <v>34</v>
      </c>
      <c r="B32" s="5">
        <v>2026</v>
      </c>
      <c r="C32" s="5" t="str">
        <f t="shared" si="0"/>
        <v>34-2026</v>
      </c>
      <c r="D32" s="5" t="s">
        <v>439</v>
      </c>
      <c r="E32" s="5" t="s">
        <v>384</v>
      </c>
      <c r="F32" s="6" t="s">
        <v>410</v>
      </c>
      <c r="G32" s="6" t="s">
        <v>386</v>
      </c>
    </row>
    <row r="33" spans="1:7" x14ac:dyDescent="0.35">
      <c r="A33" s="4">
        <v>42</v>
      </c>
      <c r="B33" s="4">
        <v>2026</v>
      </c>
      <c r="C33" s="5" t="str">
        <f t="shared" si="0"/>
        <v>42-2026</v>
      </c>
      <c r="D33" s="4" t="s">
        <v>440</v>
      </c>
      <c r="E33" s="4" t="s">
        <v>384</v>
      </c>
      <c r="F33" s="3" t="s">
        <v>412</v>
      </c>
      <c r="G33" s="3" t="s">
        <v>386</v>
      </c>
    </row>
    <row r="34" spans="1:7" x14ac:dyDescent="0.35">
      <c r="A34" s="5">
        <v>45</v>
      </c>
      <c r="B34" s="5">
        <v>2026</v>
      </c>
      <c r="C34" s="5" t="str">
        <f t="shared" si="0"/>
        <v>45-2026</v>
      </c>
      <c r="D34" s="5" t="s">
        <v>441</v>
      </c>
      <c r="E34" s="5" t="s">
        <v>384</v>
      </c>
      <c r="F34" s="6" t="s">
        <v>414</v>
      </c>
      <c r="G34" s="6" t="s">
        <v>386</v>
      </c>
    </row>
    <row r="35" spans="1:7" x14ac:dyDescent="0.35">
      <c r="A35" s="4">
        <v>47</v>
      </c>
      <c r="B35" s="4">
        <v>2026</v>
      </c>
      <c r="C35" s="5" t="str">
        <f t="shared" si="0"/>
        <v>47-2026</v>
      </c>
      <c r="D35" s="4" t="s">
        <v>442</v>
      </c>
      <c r="E35" s="4" t="s">
        <v>384</v>
      </c>
      <c r="F35" s="3" t="s">
        <v>416</v>
      </c>
      <c r="G35" s="3" t="s">
        <v>386</v>
      </c>
    </row>
    <row r="36" spans="1:7" x14ac:dyDescent="0.35">
      <c r="A36" s="5">
        <v>50</v>
      </c>
      <c r="B36" s="5">
        <v>2026</v>
      </c>
      <c r="C36" s="5" t="str">
        <f t="shared" si="0"/>
        <v>50-2026</v>
      </c>
      <c r="D36" s="5" t="s">
        <v>443</v>
      </c>
      <c r="E36" s="5" t="s">
        <v>444</v>
      </c>
      <c r="F36" s="6" t="s">
        <v>418</v>
      </c>
      <c r="G36" s="6" t="s">
        <v>382</v>
      </c>
    </row>
    <row r="37" spans="1:7" x14ac:dyDescent="0.35">
      <c r="A37" s="4">
        <v>52</v>
      </c>
      <c r="B37" s="4">
        <v>2026</v>
      </c>
      <c r="C37" s="5" t="str">
        <f t="shared" si="0"/>
        <v>52-2026</v>
      </c>
      <c r="D37" s="4" t="s">
        <v>445</v>
      </c>
      <c r="E37" s="4" t="s">
        <v>394</v>
      </c>
      <c r="F37" s="3" t="s">
        <v>420</v>
      </c>
      <c r="G37" s="3" t="s">
        <v>382</v>
      </c>
    </row>
  </sheetData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GeometryCache xmlns="http://schemas.esri.com/review/1.0" id="cache">31,139,8,0,0,0,0,0,0,3,203,43,205,201,1,0,79,252,203,37,4,0,0,0</GeometryCache>
</file>

<file path=customXml/item2.xml>�� 
</file>

<file path=customXml/itemProps1.xml><?xml version="1.0" encoding="utf-8"?>
<ds:datastoreItem xmlns:ds="http://schemas.openxmlformats.org/officeDocument/2006/customXml" ds:itemID="{40F3D427-5BDE-47CB-9FED-B3E563193BA5}">
  <ds:schemaRefs>
    <ds:schemaRef ds:uri="http://schemas.esri.com/review/1.0"/>
  </ds:schemaRefs>
</ds:datastoreItem>
</file>

<file path=customXml/itemProps2.xml><?xml version="1.0" encoding="utf-8"?>
<ds:datastoreItem xmlns:ds="http://schemas.openxmlformats.org/officeDocument/2006/customXml" ds:itemID="{ADDDAECE-5EA0-4051-86F3-0B57C126BC49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8c64559-49c6-47cf-865f-da0233616f0f}" enabled="1" method="Standard" siteId="{66f9ab85-de1a-40d4-b7bb-21565ad57cc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Visitas_Operaciones</vt:lpstr>
      <vt:lpstr>Hoja4</vt:lpstr>
      <vt:lpstr>JEFE DE OPERACIONES</vt:lpstr>
      <vt:lpstr>Resumen operaciones</vt:lpstr>
      <vt:lpstr>Efectivos</vt:lpstr>
      <vt:lpstr>Metas_Generales</vt:lpstr>
      <vt:lpstr>Hoja1</vt:lpstr>
      <vt:lpstr>Visitas</vt:lpstr>
      <vt:lpstr>Cumplimiento Visitas</vt:lpstr>
      <vt:lpstr>Cumplimiento Efectivos</vt:lpstr>
      <vt:lpstr>Hoja2</vt:lpstr>
      <vt:lpstr>Festivos Colombia 2025-2026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ROJAS ALVAREZ JUAN PABLO</dc:creator>
  <cp:keywords/>
  <dc:description/>
  <cp:lastModifiedBy>JUAN RUBIANO USAQUEN</cp:lastModifiedBy>
  <cp:revision/>
  <dcterms:created xsi:type="dcterms:W3CDTF">2025-11-10T16:55:25Z</dcterms:created>
  <dcterms:modified xsi:type="dcterms:W3CDTF">2026-07-22T16:45:58Z</dcterms:modified>
  <cp:category/>
  <cp:contentStatus/>
</cp:coreProperties>
</file>