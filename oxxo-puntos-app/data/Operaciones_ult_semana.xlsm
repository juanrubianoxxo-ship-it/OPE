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27B43221-4F85-48C6-A217-1CA575636EE1}" xr6:coauthVersionLast="47" xr6:coauthVersionMax="47" xr10:uidLastSave="{00000000-0000-0000-0000-000000000000}"/>
  <bookViews>
    <workbookView xWindow="-110" yWindow="-110" windowWidth="19420" windowHeight="11500" xr2:uid="{1B7F6A43-E552-48EB-845D-F16C083DE54D}"/>
  </bookViews>
  <sheets>
    <sheet name="Visitas_Operaciones" sheetId="2" r:id="rId1"/>
    <sheet name="Hoja4" sheetId="17" r:id="rId2"/>
    <sheet name="JEFE DE OPERACIONES" sheetId="18" r:id="rId3"/>
    <sheet name="Resumen operaciones" sheetId="16" r:id="rId4"/>
    <sheet name="Efectivos" sheetId="12" r:id="rId5"/>
    <sheet name="Metas_Generales" sheetId="9" state="hidden" r:id="rId6"/>
    <sheet name="Hoja1" sheetId="8" state="hidden" r:id="rId7"/>
    <sheet name="Visitas" sheetId="6" r:id="rId8"/>
    <sheet name="Cumplimiento Visitas" sheetId="14" r:id="rId9"/>
    <sheet name="Cumplimiento Efectivos" sheetId="15" r:id="rId10"/>
    <sheet name="Hoja2" sheetId="13" state="hidden" r:id="rId11"/>
    <sheet name="Festivos Colombia 2025-2026" sheetId="5" state="hidden" r:id="rId12"/>
  </sheets>
  <definedNames>
    <definedName name="_xlnm._FilterDatabase" localSheetId="4" hidden="1">Efectivos!$A$1:$G$19</definedName>
    <definedName name="_xlnm._FilterDatabase" localSheetId="1" hidden="1">Hoja4!$A$22:$B$37</definedName>
    <definedName name="_xlnm._FilterDatabase" localSheetId="3" hidden="1">'Resumen operaciones'!$A$1:$C$15</definedName>
    <definedName name="_xlnm._FilterDatabase" localSheetId="7" hidden="1">Visitas!$A$1:$F$19</definedName>
    <definedName name="_xlnm._FilterDatabase" localSheetId="0" hidden="1">Visitas_Operaciones!$A$1:$AC$34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315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5" i="2" l="1"/>
  <c r="X35" i="2"/>
  <c r="Y35" i="2"/>
  <c r="Z35" i="2"/>
  <c r="W36" i="2"/>
  <c r="X36" i="2"/>
  <c r="Y36" i="2"/>
  <c r="W37" i="2"/>
  <c r="X37" i="2"/>
  <c r="Y37" i="2"/>
  <c r="W38" i="2"/>
  <c r="X38" i="2"/>
  <c r="Y38" i="2"/>
  <c r="W39" i="2"/>
  <c r="Z39" i="2" s="1"/>
  <c r="X39" i="2"/>
  <c r="Y39" i="2"/>
  <c r="W40" i="2"/>
  <c r="X40" i="2"/>
  <c r="Y40" i="2"/>
  <c r="W41" i="2"/>
  <c r="X41" i="2"/>
  <c r="Y41" i="2"/>
  <c r="W42" i="2"/>
  <c r="X42" i="2"/>
  <c r="Y42" i="2"/>
  <c r="Z42" i="2"/>
  <c r="W43" i="2"/>
  <c r="X43" i="2"/>
  <c r="Y43" i="2"/>
  <c r="W44" i="2"/>
  <c r="Z44" i="2" s="1"/>
  <c r="X44" i="2"/>
  <c r="Y44" i="2"/>
  <c r="W45" i="2"/>
  <c r="X45" i="2"/>
  <c r="Y45" i="2"/>
  <c r="Z45" i="2" s="1"/>
  <c r="W46" i="2"/>
  <c r="Z46" i="2" s="1"/>
  <c r="X46" i="2"/>
  <c r="Y46" i="2"/>
  <c r="W47" i="2"/>
  <c r="X47" i="2"/>
  <c r="Y47" i="2"/>
  <c r="W48" i="2"/>
  <c r="X48" i="2"/>
  <c r="Y48" i="2"/>
  <c r="Z48" i="2"/>
  <c r="W49" i="2"/>
  <c r="X49" i="2"/>
  <c r="Y49" i="2"/>
  <c r="W50" i="2"/>
  <c r="X50" i="2"/>
  <c r="Y50" i="2"/>
  <c r="W51" i="2"/>
  <c r="X51" i="2"/>
  <c r="Y51" i="2"/>
  <c r="W52" i="2"/>
  <c r="Z52" i="2" s="1"/>
  <c r="X52" i="2"/>
  <c r="Y52" i="2"/>
  <c r="W53" i="2"/>
  <c r="X53" i="2"/>
  <c r="Y53" i="2"/>
  <c r="W54" i="2"/>
  <c r="X54" i="2"/>
  <c r="Y54" i="2"/>
  <c r="W55" i="2"/>
  <c r="Z55" i="2" s="1"/>
  <c r="X55" i="2"/>
  <c r="Y55" i="2"/>
  <c r="W56" i="2"/>
  <c r="X56" i="2"/>
  <c r="Y56" i="2"/>
  <c r="W57" i="2"/>
  <c r="X57" i="2"/>
  <c r="Y57" i="2"/>
  <c r="Z57" i="2"/>
  <c r="W58" i="2"/>
  <c r="X58" i="2"/>
  <c r="Y58" i="2"/>
  <c r="W59" i="2"/>
  <c r="Z59" i="2" s="1"/>
  <c r="X59" i="2"/>
  <c r="Y59" i="2"/>
  <c r="W60" i="2"/>
  <c r="X60" i="2"/>
  <c r="Y60" i="2"/>
  <c r="W61" i="2"/>
  <c r="Z61" i="2" s="1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W67" i="2"/>
  <c r="X67" i="2"/>
  <c r="Y67" i="2"/>
  <c r="W68" i="2"/>
  <c r="X68" i="2"/>
  <c r="Y68" i="2"/>
  <c r="W69" i="2"/>
  <c r="X69" i="2"/>
  <c r="Y69" i="2"/>
  <c r="W2" i="2"/>
  <c r="B18" i="16"/>
  <c r="A18" i="16" a="1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Z14" i="2" s="1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Z21" i="2" s="1"/>
  <c r="W22" i="2"/>
  <c r="X22" i="2"/>
  <c r="Y22" i="2"/>
  <c r="W23" i="2"/>
  <c r="X23" i="2"/>
  <c r="Y23" i="2"/>
  <c r="W24" i="2"/>
  <c r="X24" i="2"/>
  <c r="Y24" i="2"/>
  <c r="W25" i="2"/>
  <c r="X25" i="2"/>
  <c r="Y25" i="2"/>
  <c r="W26" i="2"/>
  <c r="X26" i="2"/>
  <c r="Y26" i="2"/>
  <c r="W27" i="2"/>
  <c r="X27" i="2"/>
  <c r="Y27" i="2"/>
  <c r="Z27" i="2" s="1"/>
  <c r="W28" i="2"/>
  <c r="X28" i="2"/>
  <c r="Y28" i="2"/>
  <c r="Z28" i="2" s="1"/>
  <c r="W29" i="2"/>
  <c r="X29" i="2"/>
  <c r="Y29" i="2"/>
  <c r="W30" i="2"/>
  <c r="X30" i="2"/>
  <c r="Y30" i="2"/>
  <c r="W31" i="2"/>
  <c r="X31" i="2"/>
  <c r="Y31" i="2"/>
  <c r="Z31" i="2" s="1"/>
  <c r="W32" i="2"/>
  <c r="X32" i="2"/>
  <c r="Y32" i="2"/>
  <c r="W33" i="2"/>
  <c r="X33" i="2"/>
  <c r="Y33" i="2"/>
  <c r="W34" i="2"/>
  <c r="X34" i="2"/>
  <c r="Y34" i="2"/>
  <c r="Y2" i="2"/>
  <c r="X2" i="2"/>
  <c r="E5" i="15"/>
  <c r="B5" i="14"/>
  <c r="C5" i="14" s="1"/>
  <c r="J19" i="6"/>
  <c r="I20" i="12"/>
  <c r="B4" i="14"/>
  <c r="B3" i="14"/>
  <c r="B2" i="14"/>
  <c r="H20" i="12"/>
  <c r="G20" i="12"/>
  <c r="F20" i="12"/>
  <c r="E20" i="12"/>
  <c r="A2" i="12" a="1"/>
  <c r="E19" i="6"/>
  <c r="E17" i="6"/>
  <c r="E13" i="6"/>
  <c r="E11" i="6"/>
  <c r="E9" i="6"/>
  <c r="V4" i="8" a="1"/>
  <c r="V3" i="8" a="1"/>
  <c r="V2" i="8" a="1"/>
  <c r="V1" i="8" a="1"/>
  <c r="A2" i="6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" i="15"/>
  <c r="E3" i="15" s="1"/>
  <c r="C2" i="15"/>
  <c r="E2" i="15" s="1"/>
  <c r="C2" i="14"/>
  <c r="C3" i="14"/>
  <c r="C4" i="14"/>
  <c r="E4" i="15"/>
  <c r="Z47" i="2" l="1"/>
  <c r="Z49" i="2"/>
  <c r="Z51" i="2"/>
  <c r="Z54" i="2"/>
  <c r="Z56" i="2"/>
  <c r="Z60" i="2"/>
  <c r="Z64" i="2"/>
  <c r="Z66" i="2"/>
  <c r="Z68" i="2"/>
  <c r="Z36" i="2"/>
  <c r="Z37" i="2"/>
  <c r="Z38" i="2"/>
  <c r="Z40" i="2"/>
  <c r="Z41" i="2"/>
  <c r="Z43" i="2"/>
  <c r="Z50" i="2"/>
  <c r="Z53" i="2"/>
  <c r="Z58" i="2"/>
  <c r="Z62" i="2"/>
  <c r="Z63" i="2"/>
  <c r="Z65" i="2"/>
  <c r="Z67" i="2"/>
  <c r="Z69" i="2"/>
  <c r="Z24" i="2"/>
  <c r="Z29" i="2"/>
  <c r="Z8" i="2"/>
  <c r="Z20" i="2"/>
  <c r="Z22" i="2"/>
  <c r="Z26" i="2"/>
  <c r="Z18" i="2"/>
  <c r="Z3" i="2"/>
  <c r="Z13" i="2"/>
  <c r="Z19" i="2"/>
  <c r="Z25" i="2"/>
  <c r="Z17" i="2"/>
  <c r="Z5" i="2"/>
  <c r="Z32" i="2"/>
  <c r="Z6" i="2"/>
  <c r="Z9" i="2"/>
  <c r="Z10" i="2"/>
  <c r="Z11" i="2"/>
  <c r="Z15" i="2"/>
  <c r="Z16" i="2"/>
  <c r="Z34" i="2"/>
  <c r="Z4" i="2"/>
  <c r="Z2" i="2"/>
  <c r="Z30" i="2"/>
  <c r="Z33" i="2"/>
  <c r="Z12" i="2"/>
  <c r="Z7" i="2"/>
  <c r="Z23" i="2"/>
  <c r="G8" i="6"/>
  <c r="I7" i="6"/>
  <c r="I15" i="6"/>
  <c r="I8" i="6"/>
  <c r="H8" i="6"/>
  <c r="G7" i="6"/>
  <c r="H4" i="6"/>
  <c r="G15" i="6"/>
  <c r="H7" i="6"/>
  <c r="H15" i="6"/>
  <c r="I4" i="6"/>
  <c r="G12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G4" i="6"/>
  <c r="I12" i="6"/>
  <c r="H12" i="6"/>
  <c r="D2" i="14"/>
  <c r="F2" i="14" s="1"/>
  <c r="H10" i="6"/>
  <c r="D4" i="14"/>
  <c r="F4" i="14" s="1"/>
  <c r="I10" i="6"/>
  <c r="D3" i="14"/>
  <c r="F3" i="14" s="1"/>
  <c r="G10" i="6"/>
  <c r="I14" i="6"/>
  <c r="H14" i="6"/>
  <c r="G14" i="6"/>
  <c r="G17" i="6"/>
  <c r="I17" i="6"/>
  <c r="H17" i="6"/>
  <c r="G9" i="6"/>
  <c r="I9" i="6"/>
  <c r="H9" i="6"/>
  <c r="H13" i="6"/>
  <c r="G13" i="6"/>
  <c r="I13" i="6"/>
  <c r="H11" i="6"/>
  <c r="I11" i="6"/>
  <c r="G11" i="6"/>
  <c r="H19" i="6"/>
  <c r="G19" i="6"/>
  <c r="I19" i="6"/>
  <c r="G3" i="6"/>
  <c r="H3" i="6"/>
  <c r="I3" i="6"/>
  <c r="H18" i="6"/>
  <c r="G18" i="6"/>
  <c r="I18" i="6"/>
  <c r="H16" i="6"/>
  <c r="I16" i="6"/>
  <c r="G16" i="6"/>
  <c r="G5" i="6"/>
  <c r="I5" i="6"/>
  <c r="H5" i="6"/>
  <c r="H6" i="6"/>
  <c r="I6" i="6"/>
  <c r="G6" i="6"/>
  <c r="E4" i="14"/>
  <c r="D4" i="15"/>
  <c r="E2" i="14" l="1"/>
  <c r="E3" i="14"/>
  <c r="D2" i="15"/>
  <c r="J20" i="6"/>
  <c r="D3" i="15"/>
  <c r="E5" i="14"/>
  <c r="D5" i="14"/>
  <c r="F5" i="14" s="1"/>
  <c r="D5" i="15"/>
  <c r="I2" i="6"/>
  <c r="I20" i="6" s="1"/>
  <c r="G2" i="6"/>
  <c r="G20" i="6" s="1"/>
  <c r="H2" i="6"/>
  <c r="H20" i="6" s="1"/>
  <c r="A2" i="6"/>
  <c r="V4" i="8"/>
  <c r="V3" i="8"/>
  <c r="V2" i="8"/>
  <c r="V1" i="8"/>
  <c r="A2" i="12"/>
  <c r="A1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<sst xmlns="http://schemas.openxmlformats.org/spreadsheetml/2006/main" count="1678" uniqueCount="686">
  <si>
    <t>ID</t>
  </si>
  <si>
    <t>Jefe de zona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</si>
  <si>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</si>
  <si>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</si>
  <si>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</si>
  <si>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</si>
  <si>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</si>
  <si>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</si>
  <si>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</si>
  <si>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</si>
  <si>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</si>
  <si>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</si>
  <si>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</si>
  <si>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</si>
  <si>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</si>
  <si>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</si>
  <si>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</si>
  <si>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</si>
  <si>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</si>
  <si>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</si>
  <si>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</si>
  <si>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</si>
  <si>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 del mes</t>
  </si>
  <si>
    <t>Sem-Año</t>
  </si>
  <si>
    <t>Estado Growth</t>
  </si>
  <si>
    <t>Y</t>
  </si>
  <si>
    <t>X</t>
  </si>
  <si>
    <t>Juan Rojas</t>
  </si>
  <si>
    <t>juanp.rojas@oxxo.com</t>
  </si>
  <si>
    <t>14/07/2026</t>
  </si>
  <si>
    <t>07:43</t>
  </si>
  <si>
    <t>07</t>
  </si>
  <si>
    <t>Enviado</t>
  </si>
  <si>
    <t>Prueba 1</t>
  </si>
  <si>
    <t>Centro</t>
  </si>
  <si>
    <t>Bogotá</t>
  </si>
  <si>
    <t>Cualquier cosa</t>
  </si>
  <si>
    <t>Bsbsjaha</t>
  </si>
  <si>
    <t>Base</t>
  </si>
  <si>
    <t>Esquinero</t>
  </si>
  <si>
    <t>Zona Comercial</t>
  </si>
  <si>
    <t>Hshshs</t>
  </si>
  <si>
    <t>Hahshs</t>
  </si>
  <si>
    <t>Foto: https://oxxo-colombia.oneapp.cl/static/img/Respuesta/62602229/6d8ffd2e8c6478e019c6e6f2f184cd89.jpg</t>
  </si>
  <si>
    <t>N/A</t>
  </si>
  <si>
    <t>SANDRA PADILLA</t>
  </si>
  <si>
    <t>sandra.padilla@oxxo.com</t>
  </si>
  <si>
    <t>08:19</t>
  </si>
  <si>
    <t>Centro comercial cañaveral</t>
  </si>
  <si>
    <t>Nororiente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</si>
  <si>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</si>
  <si>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</si>
  <si>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</si>
  <si>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</si>
  <si>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</si>
  <si>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</si>
  <si>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08:31</t>
  </si>
  <si>
    <t>Cra 8#17-25</t>
  </si>
  <si>
    <t>https://maps.app.goo.gl/sQCBBmYmfUFgSJJw5?g_st=ic</t>
  </si>
  <si>
    <t>Zona Administrativa</t>
  </si>
  <si>
    <t>Jajahdy</t>
  </si>
  <si>
    <t>Foto: https://oxxo-colombia.oneapp.cl/static/img/Respuesta/62607707/a67a6d94f2caa7f4eddd443c3d853b30.jpg</t>
  </si>
  <si>
    <t>JOHN ALEJANDRO ALZATE ALZATE</t>
  </si>
  <si>
    <t>john.alzate@oxxo.com</t>
  </si>
  <si>
    <t>Prueba alejando alzate</t>
  </si>
  <si>
    <t>Occidente</t>
  </si>
  <si>
    <t>Eje Cafetero</t>
  </si>
  <si>
    <t>Calle 10 10 01</t>
  </si>
  <si>
    <t>https://maps.app.goo.gl/zs9eYrx3BXeghThK7?g_st=ac</t>
  </si>
  <si>
    <t xml:space="preserve">Receso </t>
  </si>
  <si>
    <t>Zona Residencial</t>
  </si>
  <si>
    <t>Prueba</t>
  </si>
  <si>
    <t>Foto: https://oxxo-colombia.oneapp.cl/static/img/Respuesta/62607776/1bbc7e3ecea7bb71752ba7f613178b51.jpg
Foto: https://oxxo-colombia.oneapp.cl/static/img/Respuesta/62607776/d01736f34cf7d2fbf49c953d76e353f2.jpg</t>
  </si>
  <si>
    <t>KATERIN  DIAZ ZORRO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</si>
  <si>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</si>
  <si>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</si>
  <si>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</si>
  <si>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</si>
  <si>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</si>
  <si>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</si>
  <si>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</si>
  <si>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</si>
  <si>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</si>
  <si>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</si>
  <si>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</si>
  <si>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</si>
  <si>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</si>
  <si>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 HERNANDEZ</t>
  </si>
  <si>
    <t>jairo.hernandez@oxxo.com</t>
  </si>
  <si>
    <t>15:19</t>
  </si>
  <si>
    <t>Oxxo Bolivar Desnudo</t>
  </si>
  <si>
    <t>Calle 19 carrera 7 esquina</t>
  </si>
  <si>
    <t>https://maps.app.goo.gl/cyi7f3fML7fKbAXTA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</si>
  <si>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</si>
  <si>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</si>
  <si>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</si>
  <si>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</si>
  <si>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</si>
  <si>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</si>
  <si>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</si>
  <si>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</si>
  <si>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</si>
  <si>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</si>
  <si>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</si>
  <si>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</si>
  <si>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 Gomez</t>
  </si>
  <si>
    <t>alejandror.gomez@oxxo.com</t>
  </si>
  <si>
    <t>16:33</t>
  </si>
  <si>
    <t>Oxxo cra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</si>
  <si>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</si>
  <si>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</si>
  <si>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</si>
  <si>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</si>
  <si>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 ESTUPIÃAN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</si>
  <si>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</si>
  <si>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</si>
  <si>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</si>
  <si>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</si>
  <si>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</si>
  <si>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</si>
  <si>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</si>
  <si>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</si>
  <si>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</si>
  <si>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 xml:space="preserve">Daniela  Menasse 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</si>
  <si>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</si>
  <si>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</si>
  <si>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</si>
  <si>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</si>
  <si>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</si>
  <si>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</si>
  <si>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</si>
  <si>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</si>
  <si>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</si>
  <si>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</si>
  <si>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</si>
  <si>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</si>
  <si>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</si>
  <si>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</si>
  <si>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</si>
  <si>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</si>
  <si>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</si>
  <si>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</si>
  <si>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</si>
  <si>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</si>
  <si>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</si>
  <si>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</si>
  <si>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 Ortiz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</si>
  <si>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</si>
  <si>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</si>
  <si>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</si>
  <si>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</si>
  <si>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</si>
  <si>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</si>
  <si>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</si>
  <si>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</si>
  <si>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</si>
  <si>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</si>
  <si>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</si>
  <si>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</si>
  <si>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</si>
  <si>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</si>
  <si>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</si>
  <si>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</si>
  <si>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</si>
  <si>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</si>
  <si>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</si>
  <si>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Foto: https://oxxo-colombia.oneapp.cl/static/img/Respuesta/62678392/15e782c8af7c8926b7b1e25733587063.jpg</t>
  </si>
  <si>
    <t>Diana Marcela Arevalo Gonzalez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</si>
  <si>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</si>
  <si>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</si>
  <si>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</si>
  <si>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</si>
  <si>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</si>
  <si>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</si>
  <si>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</si>
  <si>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</si>
  <si>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 Duque</t>
  </si>
  <si>
    <t>vicky.duque@oxxo.com</t>
  </si>
  <si>
    <t>12:13</t>
  </si>
  <si>
    <t>Posible OXXO 52 con 13 Frente al Éxito de la 51, antes había un tren Presto, excelente ubicación, se adjuntan fotos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</si>
  <si>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</si>
  <si>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</si>
  <si>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</si>
  <si>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</si>
  <si>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</si>
  <si>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 CAMILO RODRIGUEZ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</si>
  <si>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</si>
  <si>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</si>
  <si>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</si>
  <si>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</si>
  <si>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</si>
  <si>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</si>
  <si>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</si>
  <si>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</si>
  <si>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</si>
  <si>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</si>
  <si>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</si>
  <si>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</si>
  <si>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</si>
  <si>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 Bermeo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</si>
  <si>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</si>
  <si>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</si>
  <si>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</si>
  <si>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</si>
  <si>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</si>
  <si>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</si>
  <si>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</si>
  <si>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</si>
  <si>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</si>
  <si>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</si>
  <si>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</si>
  <si>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</si>
  <si>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</si>
  <si>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</si>
  <si>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</si>
  <si>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</si>
  <si>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53, sector tráfico x cadenas olípica, Farmatodo, dollarciry, vía principal sobre la Boyacá con 53, residencial y comercial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</si>
  <si>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</si>
  <si>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</si>
  <si>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</si>
  <si>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 LORENA GARZON MONTES</t>
  </si>
  <si>
    <t>massiel.garzon@oxxo.com</t>
  </si>
  <si>
    <t>19:57</t>
  </si>
  <si>
    <t>Santa Beatriz</t>
  </si>
  <si>
    <t>Cra 15 n 118 93</t>
  </si>
  <si>
    <t>https://maps.app.goo.gl/xqXqLXgy7UCyB6pz9?g_st=ac</t>
  </si>
  <si>
    <t>Foto: https://oxxo-colombia.oneapp.cl/static/img/Respuesta/62695161/307ee68386c324cb589766d182d3dbf3.jpg</t>
  </si>
  <si>
    <t>Brayan Mogollón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</si>
  <si>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</si>
  <si>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</si>
  <si>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</si>
  <si>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</si>
  <si>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</si>
  <si>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</si>
  <si>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</si>
  <si>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</si>
  <si>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</si>
  <si>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</si>
  <si>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</si>
  <si>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</si>
  <si>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</si>
  <si>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</si>
  <si>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</si>
  <si>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</si>
  <si>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</si>
  <si>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</si>
  <si>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</si>
  <si>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</si>
  <si>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</si>
  <si>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</si>
  <si>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</si>
  <si>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</si>
  <si>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</si>
  <si>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</si>
  <si>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</si>
  <si>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</si>
  <si>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</si>
  <si>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</si>
  <si>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</si>
  <si>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</si>
  <si>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</si>
  <si>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</si>
  <si>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</si>
  <si>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</si>
  <si>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</si>
  <si>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</si>
  <si>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</si>
  <si>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</si>
  <si>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</si>
  <si>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</si>
  <si>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</si>
  <si>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</si>
  <si>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</si>
  <si>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</si>
  <si>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</si>
  <si>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</si>
  <si>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</si>
  <si>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 Victoria Bernal Puentes</t>
  </si>
  <si>
    <t>diana.bernal@oxxo.com</t>
  </si>
  <si>
    <t>19/07/2026</t>
  </si>
  <si>
    <t>11:52</t>
  </si>
  <si>
    <t>OXXO ESMERALDA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</si>
  <si>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</si>
  <si>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</si>
  <si>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</si>
  <si>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</si>
  <si>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5.027791593988247, -73.99874073746274</t>
  </si>
  <si>
    <t>DANIEL PANQUEBA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</si>
  <si>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</si>
  <si>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</si>
  <si>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</si>
  <si>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</si>
  <si>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</si>
  <si>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</si>
  <si>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</si>
  <si>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</si>
  <si>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</si>
  <si>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</si>
  <si>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</si>
  <si>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</si>
  <si>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</si>
  <si>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</si>
  <si>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</si>
  <si>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</si>
  <si>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</si>
  <si>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</si>
  <si>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</si>
  <si>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</si>
  <si>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</si>
  <si>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</si>
  <si>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</si>
  <si>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</si>
  <si>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</si>
  <si>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</si>
  <si>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</si>
  <si>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</si>
  <si>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</si>
  <si>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</si>
  <si>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</si>
  <si>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</si>
  <si>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</si>
  <si>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</si>
  <si>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</si>
  <si>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</si>
  <si>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</si>
  <si>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</si>
  <si>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</si>
  <si>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</si>
  <si>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</si>
  <si>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</si>
  <si>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</si>
  <si>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</si>
  <si>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</si>
  <si>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</si>
  <si>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</si>
  <si>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</si>
  <si>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</si>
  <si>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</si>
  <si>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</si>
  <si>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</si>
  <si>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</si>
  <si>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</si>
  <si>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</si>
  <si>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</si>
  <si>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DIANA ARAQUE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</si>
  <si>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</si>
  <si>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</si>
  <si>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</si>
  <si>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</si>
  <si>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</si>
  <si>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</si>
  <si>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</si>
  <si>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Foto: 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</si>
  <si>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 Ospina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</si>
  <si>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</si>
  <si>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</si>
  <si>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</si>
  <si>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</si>
  <si>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</si>
  <si>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</si>
  <si>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</si>
  <si>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</si>
  <si>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 Becerra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</si>
  <si>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</si>
  <si>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</si>
  <si>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</si>
  <si>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</si>
  <si>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</si>
  <si>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</si>
  <si>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</si>
  <si>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
El local lo construyen deacuerdo a nuestras especificaciones.  Actualmente está el lote. 
Queda en toda la vía principal en un triángulo que comunica con el pueblo del municipio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</si>
  <si>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</si>
  <si>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</si>
  <si>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</si>
  <si>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</si>
  <si>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 Sanchez Diaz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</si>
  <si>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</si>
  <si>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</si>
  <si>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</si>
  <si>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</si>
  <si>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</si>
  <si>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</si>
  <si>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</si>
  <si>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</si>
  <si>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</si>
  <si>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</si>
  <si>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</si>
  <si>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</si>
  <si>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</si>
  <si>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</si>
  <si>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</si>
  <si>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</si>
  <si>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</si>
  <si>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</si>
  <si>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</si>
  <si>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</si>
  <si>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</si>
  <si>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</si>
  <si>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Hermis David Cuicas Diaz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</si>
  <si>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</si>
  <si>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</si>
  <si>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</si>
  <si>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</si>
  <si>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</si>
  <si>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</si>
  <si>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</si>
  <si>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</si>
  <si>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</si>
  <si>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</si>
  <si>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</si>
  <si>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</si>
  <si>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</si>
  <si>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</si>
  <si>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</si>
  <si>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</si>
  <si>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</si>
  <si>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</si>
  <si>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</si>
  <si>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</si>
  <si>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 Ortiz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</si>
  <si>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</si>
  <si>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</si>
  <si>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</si>
  <si>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</si>
  <si>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</si>
  <si>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</si>
  <si>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</si>
  <si>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</si>
  <si>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</si>
  <si>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</si>
  <si>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</si>
  <si>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</si>
  <si>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</si>
  <si>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</si>
  <si>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</si>
  <si>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</si>
  <si>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</si>
  <si>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</si>
  <si>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</si>
  <si>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</si>
  <si>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</si>
  <si>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</si>
  <si>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</si>
  <si>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</si>
  <si>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</si>
  <si>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</si>
  <si>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</si>
  <si>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</si>
  <si>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</si>
  <si>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</si>
  <si>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</si>
  <si>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</si>
  <si>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</si>
  <si>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</si>
  <si>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</si>
  <si>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</si>
  <si>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</si>
  <si>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</si>
  <si>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</si>
  <si>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</si>
  <si>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</si>
  <si>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</si>
  <si>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</si>
  <si>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</si>
  <si>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</si>
  <si>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</si>
  <si>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</si>
  <si>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</si>
  <si>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</si>
  <si>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</si>
  <si>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ERNESTO LATORRE</t>
  </si>
  <si>
    <t>ernesto.latorre@oxxo.com</t>
  </si>
  <si>
    <t>12:14</t>
  </si>
  <si>
    <t>Edificio Tequendama Calle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</si>
  <si>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</si>
  <si>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</si>
  <si>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</si>
  <si>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</si>
  <si>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</si>
  <si>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</si>
  <si>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</si>
  <si>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</si>
  <si>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</si>
  <si>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 GOMEZ</t>
  </si>
  <si>
    <t>francisco.gomezgrajales@oxxo.com</t>
  </si>
  <si>
    <t>17:37</t>
  </si>
  <si>
    <t>Ciudad jardín sur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</si>
  <si>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</si>
  <si>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</si>
  <si>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</si>
  <si>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</si>
  <si>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</si>
  <si>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</si>
  <si>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</si>
  <si>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</si>
  <si>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</si>
  <si>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</si>
  <si>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</si>
  <si>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</si>
  <si>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</si>
  <si>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</si>
  <si>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</si>
  <si>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</si>
  <si>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</si>
  <si>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</si>
  <si>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</si>
  <si>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</si>
  <si>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</si>
  <si>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</si>
  <si>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</si>
  <si>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 DIEGO GARCIA</t>
  </si>
  <si>
    <t>juan.garciadiaz@oxxo.com</t>
  </si>
  <si>
    <t>13:14</t>
  </si>
  <si>
    <t>Estadio</t>
  </si>
  <si>
    <t>Antioquia</t>
  </si>
  <si>
    <t>https://maps.app.goo.gl/suGcqKmfVSJX555AA?g_st=ac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</si>
  <si>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</si>
  <si>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</si>
  <si>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</si>
  <si>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</si>
  <si>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</si>
  <si>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</si>
  <si>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</si>
  <si>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</si>
  <si>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</si>
  <si>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(Varios elementos)</t>
  </si>
  <si>
    <t>Etiquetas de fila</t>
  </si>
  <si>
    <t xml:space="preserve">Cuenta de Nombre del Punto </t>
  </si>
  <si>
    <t>Total general</t>
  </si>
  <si>
    <t>Puntos potenciales</t>
  </si>
  <si>
    <t>Yesenia Aritizabal</t>
  </si>
  <si>
    <t>Pedro</t>
  </si>
  <si>
    <t>Norte</t>
  </si>
  <si>
    <t>Juan Pablo</t>
  </si>
  <si>
    <t>Sur</t>
  </si>
  <si>
    <t>Caribe</t>
  </si>
  <si>
    <t>Diego Rodriguez</t>
  </si>
  <si>
    <t>Centro Sur</t>
  </si>
  <si>
    <t xml:space="preserve">Eje Cafetero </t>
  </si>
  <si>
    <t xml:space="preserve">Oriente </t>
  </si>
  <si>
    <t>Valle</t>
  </si>
  <si>
    <t>Meta</t>
  </si>
  <si>
    <t>29-2026</t>
  </si>
  <si>
    <t>Especialista</t>
  </si>
  <si>
    <t xml:space="preserve">Microcelula </t>
  </si>
  <si>
    <t>COD</t>
  </si>
  <si>
    <t>Activo</t>
  </si>
  <si>
    <t>Meta efectivos</t>
  </si>
  <si>
    <t>26-2026</t>
  </si>
  <si>
    <t>27-2026</t>
  </si>
  <si>
    <t>28-2026</t>
  </si>
  <si>
    <t>NO</t>
  </si>
  <si>
    <t>Esp_2</t>
  </si>
  <si>
    <t>SI</t>
  </si>
  <si>
    <t>Esp_1</t>
  </si>
  <si>
    <t>Esp_8</t>
  </si>
  <si>
    <t>Esp_4</t>
  </si>
  <si>
    <t>Esp_5</t>
  </si>
  <si>
    <t>Esp_3</t>
  </si>
  <si>
    <t>Celula 1</t>
  </si>
  <si>
    <t>Celula 2</t>
  </si>
  <si>
    <t>Esp_6</t>
  </si>
  <si>
    <t>Micro_Bog_1</t>
  </si>
  <si>
    <t>Celula 3</t>
  </si>
  <si>
    <t>Esp_7</t>
  </si>
  <si>
    <t>Ariam Cruz</t>
  </si>
  <si>
    <t>Total</t>
  </si>
  <si>
    <t>COD ESP</t>
  </si>
  <si>
    <t>GONZALEZ GOMEZ JURY CAROLINA</t>
  </si>
  <si>
    <t>Micro_Bog_2</t>
  </si>
  <si>
    <t>TORRES MARTINEZ CINDY YESENIA</t>
  </si>
  <si>
    <t>DIAZ ORTIZ LINA</t>
  </si>
  <si>
    <t>ACUNA ROJAS JENNY</t>
  </si>
  <si>
    <t>MEJIA TUTA LEIDY</t>
  </si>
  <si>
    <t>LOPEZ CANDAMIL MARTHA LILIANA</t>
  </si>
  <si>
    <t>BOLAÑOS DIAZ CARLOS</t>
  </si>
  <si>
    <t>Rojas Romero Alejandra</t>
  </si>
  <si>
    <t>Micro_Med_1</t>
  </si>
  <si>
    <t>JORGE WILLIAM GRANADOS RUIZ</t>
  </si>
  <si>
    <t>ELVIA JAIMES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</si>
  <si>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</si>
  <si>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</si>
  <si>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</si>
  <si>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</si>
  <si>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</si>
  <si>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</si>
  <si>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</si>
  <si>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</si>
  <si>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</si>
  <si>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</si>
  <si>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</si>
  <si>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</si>
  <si>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</si>
  <si>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</si>
  <si>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</si>
  <si>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</si>
  <si>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</si>
  <si>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</si>
  <si>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</si>
  <si>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</si>
  <si>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</si>
  <si>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Festivo</t>
  </si>
  <si>
    <t>Meta sin Festivo</t>
  </si>
  <si>
    <t>Semana</t>
  </si>
  <si>
    <t>Festivo</t>
  </si>
  <si>
    <t xml:space="preserve">Meta </t>
  </si>
  <si>
    <t>Total Visitas</t>
  </si>
  <si>
    <t>MES</t>
  </si>
  <si>
    <t>Cumplimiento</t>
  </si>
  <si>
    <t>Total Efectivos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</si>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</sst>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6F977"/>
        <bgColor indexed="64"/>
      </patternFill>
    </fill>
    <fill>
      <patternFill patternType="solid">
        <fgColor theme="4" tint="0.79998168889431442"/>
        <bgColor rgb="FF000000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0" fontId="0" fillId="36" borderId="0" xfId="0" applyFill="1"/>
    <xf numFmtId="0" fontId="16" fillId="36" borderId="0" xfId="0" applyFont="1" applyFill="1"/>
    <xf numFmtId="1" fontId="16" fillId="36" borderId="0" xfId="0" applyNumberFormat="1" applyFont="1" applyFill="1" applyAlignment="1">
      <alignment horizontal="center"/>
    </xf>
    <xf numFmtId="1" fontId="16" fillId="36" borderId="0" xfId="0" applyNumberFormat="1" applyFont="1" applyFill="1"/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164" fontId="0" fillId="36" borderId="0" xfId="44" applyNumberFormat="1" applyFont="1" applyFill="1"/>
    <xf numFmtId="0" fontId="16" fillId="0" borderId="0" xfId="0" applyFont="1"/>
    <xf numFmtId="0" fontId="16" fillId="36" borderId="0" xfId="0" applyFont="1" applyFill="1" applyAlignment="1">
      <alignment horizontal="left"/>
    </xf>
    <xf numFmtId="0" fontId="25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8" borderId="10" xfId="0" applyFill="1" applyBorder="1" applyAlignment="1">
      <alignment vertical="top" wrapText="1"/>
    </xf>
    <xf numFmtId="0" fontId="19" fillId="0" borderId="10" xfId="42" applyBorder="1" applyAlignment="1">
      <alignment vertical="top" wrapText="1"/>
    </xf>
    <xf numFmtId="0" fontId="25" fillId="39" borderId="10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4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Cantidad de puntos mapeados por JZ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operaciones'!$A$2:$A$15</c:f>
              <c:strCache>
                <c:ptCount val="14"/>
                <c:pt idx="0">
                  <c:v>Daniela  Menasse </c:v>
                </c:pt>
                <c:pt idx="1">
                  <c:v>KATERIN  DIAZ ZORRO</c:v>
                </c:pt>
                <c:pt idx="2">
                  <c:v>CHRISTIAN CAMILO RODRIGUEZ</c:v>
                </c:pt>
                <c:pt idx="3">
                  <c:v>JAIRO HERNANDEZ</c:v>
                </c:pt>
                <c:pt idx="4">
                  <c:v>Alejandro Gomez</c:v>
                </c:pt>
                <c:pt idx="5">
                  <c:v>Brayan Ortiz</c:v>
                </c:pt>
                <c:pt idx="6">
                  <c:v>Diana Marcela Arevalo Gonzalez</c:v>
                </c:pt>
                <c:pt idx="7">
                  <c:v>MASSIEL LORENA GARZON MONTES</c:v>
                </c:pt>
                <c:pt idx="8">
                  <c:v>vicky Duque</c:v>
                </c:pt>
                <c:pt idx="9">
                  <c:v>Brayan Mogollón</c:v>
                </c:pt>
                <c:pt idx="10">
                  <c:v>CRISTIAN ESTUPIÃAN</c:v>
                </c:pt>
                <c:pt idx="11">
                  <c:v>Danny Bermeo</c:v>
                </c:pt>
                <c:pt idx="12">
                  <c:v>JOHN ALEJANDRO ALZATE ALZATE</c:v>
                </c:pt>
                <c:pt idx="13">
                  <c:v>SANDRA PADILLA</c:v>
                </c:pt>
              </c:strCache>
            </c:strRef>
          </c:cat>
          <c:val>
            <c:numRef>
              <c:f>'Resumen operaciones'!$C$2:$C$15</c:f>
              <c:numCache>
                <c:formatCode>General</c:formatCode>
                <c:ptCount val="14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B-4CAD-AB46-483BB664FE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6368944"/>
        <c:axId val="1806373264"/>
      </c:barChart>
      <c:catAx>
        <c:axId val="180636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73264"/>
        <c:crosses val="autoZero"/>
        <c:auto val="1"/>
        <c:lblAlgn val="ctr"/>
        <c:lblOffset val="100"/>
        <c:noMultiLvlLbl val="0"/>
      </c:catAx>
      <c:valAx>
        <c:axId val="180637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0636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0</xdr:row>
      <xdr:rowOff>177800</xdr:rowOff>
    </xdr:from>
    <xdr:to>
      <xdr:col>13</xdr:col>
      <xdr:colOff>342901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116C6B-D6C7-7CA7-6168-2DB66D6E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4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31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26" Type="http://schemas.openxmlformats.org/officeDocument/2006/relationships/hyperlink" Target="https://maps.app.goo.gl/UgKek3eZnzV3KFSy6" TargetMode="External"/><Relationship Id="rId39" Type="http://schemas.openxmlformats.org/officeDocument/2006/relationships/hyperlink" Target="https://maps.app.goo.gl/wbcjBnHS4KwUYnNN9?g_st=ac" TargetMode="External"/><Relationship Id="rId21" Type="http://schemas.openxmlformats.org/officeDocument/2006/relationships/hyperlink" Target="https://maps.app.goo.gl/8ZCCS79gfk7pGP9C6?g_st=iw" TargetMode="External"/><Relationship Id="rId34" Type="http://schemas.openxmlformats.org/officeDocument/2006/relationships/hyperlink" Target="https://maps.app.goo.gl/sq7pMrES6283SMyr6?g_st=ac" TargetMode="External"/><Relationship Id="rId42" Type="http://schemas.openxmlformats.org/officeDocument/2006/relationships/hyperlink" Target="https://maps.app.goo.gl/BeTGCR24bq6FqSRe8?g_st=ac" TargetMode="External"/><Relationship Id="rId47" Type="http://schemas.openxmlformats.org/officeDocument/2006/relationships/hyperlink" Target="https://maps.app.goo.gl/PE1f4S4YcVUUo6e98?g_st=ac" TargetMode="External"/><Relationship Id="rId50" Type="http://schemas.openxmlformats.org/officeDocument/2006/relationships/hyperlink" Target="https://maps.app.goo.gl/mPEriJi82CJKdctc8?g_st=ac" TargetMode="External"/><Relationship Id="rId7" Type="http://schemas.openxmlformats.org/officeDocument/2006/relationships/hyperlink" Target="https://maps.app.goo.gl/a95PSeawc8zDeAyD7" TargetMode="External"/><Relationship Id="rId2" Type="http://schemas.openxmlformats.org/officeDocument/2006/relationships/hyperlink" Target="https://maps.app.goo.gl/RdznzFN8oeXt4BzY8?g_st=iw" TargetMode="External"/><Relationship Id="rId16" Type="http://schemas.openxmlformats.org/officeDocument/2006/relationships/hyperlink" Target="https://maps.app.goo.gl/XKjbjeAS9omZeFTB7?g_st=iw" TargetMode="External"/><Relationship Id="rId29" Type="http://schemas.openxmlformats.org/officeDocument/2006/relationships/hyperlink" Target="https://maps.app.goo.gl/QEQfuLMTfSvDtyZS7?g_st=ac" TargetMode="External"/><Relationship Id="rId11" Type="http://schemas.openxmlformats.org/officeDocument/2006/relationships/hyperlink" Target="https://maps.app.goo.gl/uNEnpfgoDAbeptMD7?g_st=ac" TargetMode="External"/><Relationship Id="rId24" Type="http://schemas.openxmlformats.org/officeDocument/2006/relationships/hyperlink" Target="https://maps.app.goo.gl/RXJBFg5X1vNJ3zZ66?g_st=iw" TargetMode="External"/><Relationship Id="rId32" Type="http://schemas.openxmlformats.org/officeDocument/2006/relationships/hyperlink" Target="https://maps.app.goo.gl/M7GS1t882L9X2s5X7?g_st=ac" TargetMode="External"/><Relationship Id="rId37" Type="http://schemas.openxmlformats.org/officeDocument/2006/relationships/hyperlink" Target="https://maps.app.goo.gl/hh9DqoKdf3dEj9zaA?g_st=ac" TargetMode="External"/><Relationship Id="rId40" Type="http://schemas.openxmlformats.org/officeDocument/2006/relationships/hyperlink" Target="https://maps.app.goo.gl/TCHUdwg6A8YgVuCz5?g_st=ac" TargetMode="External"/><Relationship Id="rId45" Type="http://schemas.openxmlformats.org/officeDocument/2006/relationships/hyperlink" Target="https://maps.app.goo.gl/XQdTnYufh5YeLTcXA?g_st=ac" TargetMode="External"/><Relationship Id="rId53" Type="http://schemas.openxmlformats.org/officeDocument/2006/relationships/hyperlink" Target="https://maps.app.goo.gl/qVPDTGyYWwahjkAp7?g_st=ac" TargetMode="External"/><Relationship Id="rId5" Type="http://schemas.openxmlformats.org/officeDocument/2006/relationships/hyperlink" Target="mailto:memito-palacio@hotmail.com" TargetMode="External"/><Relationship Id="rId10" Type="http://schemas.openxmlformats.org/officeDocument/2006/relationships/hyperlink" Target="https://maps.app.goo.gl/2TZH47f4N86NTjSb6?g_st=ic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31" Type="http://schemas.openxmlformats.org/officeDocument/2006/relationships/hyperlink" Target="https://maps.app.goo.gl/crfJcUJxJcrVFGAw8?g_st=awb" TargetMode="External"/><Relationship Id="rId44" Type="http://schemas.openxmlformats.org/officeDocument/2006/relationships/hyperlink" Target="https://maps.app.goo.gl/3zpfDx5Jekfv4v86A?g_st=ac" TargetMode="External"/><Relationship Id="rId52" Type="http://schemas.openxmlformats.org/officeDocument/2006/relationships/hyperlink" Target="https://maps.app.goo.gl/suGcqKmfVSJX555AA?g_st=ac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4" Type="http://schemas.openxmlformats.org/officeDocument/2006/relationships/hyperlink" Target="https://goo.gl/maps/hD1QaqZei8hNKnUy5?g_st=aw" TargetMode="External"/><Relationship Id="rId22" Type="http://schemas.openxmlformats.org/officeDocument/2006/relationships/hyperlink" Target="https://maps.app.goo.gl/sQCBBmYmfUFgSJJw5?g_st=ic" TargetMode="External"/><Relationship Id="rId27" Type="http://schemas.openxmlformats.org/officeDocument/2006/relationships/hyperlink" Target="https://maps.app.goo.gl/4XVD4C94joAnoLQU8?g_st=aw" TargetMode="External"/><Relationship Id="rId30" Type="http://schemas.openxmlformats.org/officeDocument/2006/relationships/hyperlink" Target="https://maps.app.goo.gl/DsZejbLUvxEXoxAA6?g_st=awb" TargetMode="External"/><Relationship Id="rId35" Type="http://schemas.openxmlformats.org/officeDocument/2006/relationships/hyperlink" Target="https://maps.app.goo.gl/mWPt1WTFKARjgwHP6?g_st=ac" TargetMode="External"/><Relationship Id="rId43" Type="http://schemas.openxmlformats.org/officeDocument/2006/relationships/hyperlink" Target="https://maps.app.goo.gl/BKx91rDJ4CJKfCNt7?g_st=ac" TargetMode="External"/><Relationship Id="rId48" Type="http://schemas.openxmlformats.org/officeDocument/2006/relationships/hyperlink" Target="https://maps.app.goo.gl/iQjt8Ebm6H8CuvqJ8?g_st=ac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WcJZpZR1WDn3aMew7?g_st=ac" TargetMode="External"/><Relationship Id="rId3" Type="http://schemas.openxmlformats.org/officeDocument/2006/relationships/hyperlink" Target="https://maps.app.goo.gl/cyi7f3fML7fKbAXTA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25" Type="http://schemas.openxmlformats.org/officeDocument/2006/relationships/hyperlink" Target="https://maps.app.goo.gl/xqXqLXgy7UCyB6pz9?g_st=ac" TargetMode="External"/><Relationship Id="rId33" Type="http://schemas.openxmlformats.org/officeDocument/2006/relationships/hyperlink" Target="https://maps.app.goo.gl/6YBR9JYLZWtzb83y7?g_st=ac" TargetMode="External"/><Relationship Id="rId38" Type="http://schemas.openxmlformats.org/officeDocument/2006/relationships/hyperlink" Target="https://maps.app.goo.gl/EyCAWArR3m9TpYUx7?g_st=ac" TargetMode="External"/><Relationship Id="rId46" Type="http://schemas.openxmlformats.org/officeDocument/2006/relationships/hyperlink" Target="https://maps.app.goo.gl/BS9YHfeBx8LigNK16?g_st=aw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share.google/CPQ8CQuA70rGqPrMw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15" Type="http://schemas.openxmlformats.org/officeDocument/2006/relationships/hyperlink" Target="https://maps.app.goo.gl/9rC2X5676JGMq3sp8?g_st=iw" TargetMode="External"/><Relationship Id="rId23" Type="http://schemas.openxmlformats.org/officeDocument/2006/relationships/hyperlink" Target="https://maps.app.goo.gl/PhzXtYjgkKMemPb39?g_st=iw" TargetMode="External"/><Relationship Id="rId28" Type="http://schemas.openxmlformats.org/officeDocument/2006/relationships/hyperlink" Target="https://maps.app.goo.gl/5bYucWhBPLEHru7D8" TargetMode="External"/><Relationship Id="rId36" Type="http://schemas.openxmlformats.org/officeDocument/2006/relationships/hyperlink" Target="https://maps.app.goo.gl/U51zZk2Qhyu1RYGE8?g_st=ac" TargetMode="External"/><Relationship Id="rId49" Type="http://schemas.openxmlformats.org/officeDocument/2006/relationships/hyperlink" Target="https://maps.app.goo.gl/974Kc9pnwF5W8VPB9?g_st=aw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C69"/>
  <sheetViews>
    <sheetView showGridLines="0" tabSelected="1" zoomScale="65" zoomScaleNormal="93" workbookViewId="0">
      <pane xSplit="2" ySplit="1" topLeftCell="X59" activePane="bottomRight" state="frozen"/>
      <selection pane="bottomRight" activeCell="AB1" sqref="AB1"/>
      <selection pane="bottomLeft" activeCell="A2" sqref="A2"/>
      <selection pane="topRight" activeCell="C1" sqref="C1"/>
    </sheetView>
  </sheetViews>
  <sheetFormatPr defaultColWidth="11.42578125" defaultRowHeight="14.45"/>
  <cols>
    <col min="1" max="1" width="8.5703125" bestFit="1" customWidth="1"/>
    <col min="2" max="2" width="17.5703125" bestFit="1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60.140625" bestFit="1" customWidth="1"/>
    <col min="11" max="11" width="25.5703125" bestFit="1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140625" customWidth="1"/>
    <col min="28" max="28" width="14.42578125" bestFit="1" customWidth="1"/>
    <col min="29" max="29" width="13.5703125" bestFit="1" customWidth="1"/>
  </cols>
  <sheetData>
    <row r="1" spans="1:29" ht="43.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31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5" t="s">
        <v>21</v>
      </c>
      <c r="W1" s="2" t="s">
        <v>22</v>
      </c>
      <c r="X1" s="2" t="s">
        <v>7</v>
      </c>
      <c r="Y1" s="2" t="s">
        <v>6</v>
      </c>
      <c r="Z1" s="2" t="s">
        <v>23</v>
      </c>
      <c r="AA1" s="2" t="s">
        <v>24</v>
      </c>
      <c r="AB1" s="2" t="s">
        <v>25</v>
      </c>
      <c r="AC1" s="2" t="s">
        <v>26</v>
      </c>
    </row>
    <row r="2" spans="1:29" ht="32.1" customHeight="1">
      <c r="A2" s="29">
        <v>3649217</v>
      </c>
      <c r="B2" s="26" t="s">
        <v>27</v>
      </c>
      <c r="C2" s="26" t="s">
        <v>28</v>
      </c>
      <c r="D2" s="26" t="s">
        <v>29</v>
      </c>
      <c r="E2" s="26" t="s">
        <v>29</v>
      </c>
      <c r="F2" s="26" t="s">
        <v>30</v>
      </c>
      <c r="G2" s="26">
        <v>2026</v>
      </c>
      <c r="H2" s="26" t="s">
        <v>31</v>
      </c>
      <c r="I2" s="26" t="s">
        <v>32</v>
      </c>
      <c r="J2" s="26" t="s">
        <v>33</v>
      </c>
      <c r="K2" s="26"/>
      <c r="L2" s="26" t="s">
        <v>34</v>
      </c>
      <c r="M2" s="26" t="s">
        <v>35</v>
      </c>
      <c r="N2" s="26" t="s">
        <v>36</v>
      </c>
      <c r="O2" s="26"/>
      <c r="P2" s="26" t="s">
        <v>37</v>
      </c>
      <c r="Q2" s="26" t="s">
        <v>38</v>
      </c>
      <c r="R2" s="26" t="s">
        <v>39</v>
      </c>
      <c r="S2" s="26" t="s">
        <v>40</v>
      </c>
      <c r="T2" s="26" t="s">
        <v>41</v>
      </c>
      <c r="U2" s="26" t="s">
        <v>42</v>
      </c>
      <c r="V2" s="26" t="s">
        <v>43</v>
      </c>
      <c r="W2">
        <f>WEEKNUM(E2)</f>
        <v>29</v>
      </c>
      <c r="X2">
        <f t="shared" ref="X2:X34" si="0">MONTH(E2)</f>
        <v>7</v>
      </c>
      <c r="Y2">
        <f t="shared" ref="Y2:Y34" si="1">YEAR(E2)</f>
        <v>2026</v>
      </c>
      <c r="Z2" t="str">
        <f>_xlfn.CONCAT(W2,"-",Y2)</f>
        <v>29-2026</v>
      </c>
      <c r="AA2" t="s">
        <v>44</v>
      </c>
    </row>
    <row r="3" spans="1:29" ht="32.1" customHeight="1">
      <c r="A3" s="29">
        <v>3649249</v>
      </c>
      <c r="B3" s="26" t="s">
        <v>45</v>
      </c>
      <c r="C3" s="26" t="s">
        <v>46</v>
      </c>
      <c r="D3" s="26" t="s">
        <v>29</v>
      </c>
      <c r="E3" s="26" t="s">
        <v>29</v>
      </c>
      <c r="F3" s="26" t="s">
        <v>47</v>
      </c>
      <c r="G3" s="26">
        <v>2026</v>
      </c>
      <c r="H3" s="26" t="s">
        <v>31</v>
      </c>
      <c r="I3" s="26" t="s">
        <v>32</v>
      </c>
      <c r="J3" s="26" t="s">
        <v>48</v>
      </c>
      <c r="K3" s="26"/>
      <c r="L3" s="26" t="s">
        <v>49</v>
      </c>
      <c r="M3" s="26" t="s">
        <v>50</v>
      </c>
      <c r="N3" s="26" t="s">
        <v>51</v>
      </c>
      <c r="O3" s="26"/>
      <c r="P3" s="26" t="s">
        <v>52</v>
      </c>
      <c r="Q3" s="26" t="s">
        <v>38</v>
      </c>
      <c r="R3" s="26" t="s">
        <v>39</v>
      </c>
      <c r="S3" s="26" t="s">
        <v>40</v>
      </c>
      <c r="T3" s="26" t="s">
        <v>53</v>
      </c>
      <c r="U3" s="26">
        <v>3007751069</v>
      </c>
      <c r="V3" s="26" t="s">
        <v>54</v>
      </c>
      <c r="W3">
        <f t="shared" ref="W2:W34" si="2">WEEKNUM(E3)</f>
        <v>29</v>
      </c>
      <c r="X3">
        <f t="shared" si="0"/>
        <v>7</v>
      </c>
      <c r="Y3">
        <f t="shared" si="1"/>
        <v>2026</v>
      </c>
      <c r="Z3" t="str">
        <f t="shared" ref="Z3:Z34" si="3">_xlfn.CONCAT(W3,"-",Y3)</f>
        <v>29-2026</v>
      </c>
      <c r="AA3" t="s">
        <v>55</v>
      </c>
      <c r="AB3">
        <v>7.0706374277242299</v>
      </c>
      <c r="AC3">
        <v>-73.105528329117803</v>
      </c>
    </row>
    <row r="4" spans="1:29" ht="32.1" customHeight="1">
      <c r="A4" s="29">
        <v>3649241</v>
      </c>
      <c r="B4" s="26" t="s">
        <v>27</v>
      </c>
      <c r="C4" s="26" t="s">
        <v>28</v>
      </c>
      <c r="D4" s="26" t="s">
        <v>29</v>
      </c>
      <c r="E4" s="26" t="s">
        <v>29</v>
      </c>
      <c r="F4" s="26" t="s">
        <v>56</v>
      </c>
      <c r="G4" s="26">
        <v>2026</v>
      </c>
      <c r="H4" s="26" t="s">
        <v>31</v>
      </c>
      <c r="I4" s="26" t="s">
        <v>32</v>
      </c>
      <c r="J4" s="26" t="s">
        <v>33</v>
      </c>
      <c r="K4" s="26"/>
      <c r="L4" s="26" t="s">
        <v>34</v>
      </c>
      <c r="M4" s="26" t="s">
        <v>35</v>
      </c>
      <c r="N4" s="26" t="s">
        <v>57</v>
      </c>
      <c r="O4" s="26"/>
      <c r="P4" s="30" t="s">
        <v>58</v>
      </c>
      <c r="Q4" s="26" t="s">
        <v>38</v>
      </c>
      <c r="R4" s="26" t="s">
        <v>39</v>
      </c>
      <c r="S4" s="26" t="s">
        <v>59</v>
      </c>
      <c r="T4" s="26">
        <v>3115620222</v>
      </c>
      <c r="U4" s="26" t="s">
        <v>60</v>
      </c>
      <c r="V4" s="26" t="s">
        <v>61</v>
      </c>
      <c r="W4">
        <f t="shared" si="2"/>
        <v>29</v>
      </c>
      <c r="X4">
        <f t="shared" si="0"/>
        <v>7</v>
      </c>
      <c r="Y4">
        <f t="shared" si="1"/>
        <v>2026</v>
      </c>
      <c r="Z4" t="str">
        <f t="shared" si="3"/>
        <v>29-2026</v>
      </c>
      <c r="AA4" t="s">
        <v>44</v>
      </c>
    </row>
    <row r="5" spans="1:29" ht="32.1" customHeight="1">
      <c r="A5" s="29">
        <v>3649264</v>
      </c>
      <c r="B5" s="26" t="s">
        <v>62</v>
      </c>
      <c r="C5" s="26" t="s">
        <v>63</v>
      </c>
      <c r="D5" s="26" t="s">
        <v>29</v>
      </c>
      <c r="E5" s="26" t="s">
        <v>29</v>
      </c>
      <c r="F5" s="26" t="s">
        <v>56</v>
      </c>
      <c r="G5" s="26">
        <v>2026</v>
      </c>
      <c r="H5" s="26" t="s">
        <v>31</v>
      </c>
      <c r="I5" s="26" t="s">
        <v>32</v>
      </c>
      <c r="J5" s="26" t="s">
        <v>64</v>
      </c>
      <c r="K5" s="26"/>
      <c r="L5" s="26" t="s">
        <v>65</v>
      </c>
      <c r="M5" s="26" t="s">
        <v>66</v>
      </c>
      <c r="N5" s="26" t="s">
        <v>67</v>
      </c>
      <c r="O5" s="26"/>
      <c r="P5" s="26" t="s">
        <v>68</v>
      </c>
      <c r="Q5" s="26" t="s">
        <v>69</v>
      </c>
      <c r="R5" s="26" t="s">
        <v>39</v>
      </c>
      <c r="S5" s="26" t="s">
        <v>70</v>
      </c>
      <c r="T5" s="26" t="s">
        <v>71</v>
      </c>
      <c r="U5" s="26" t="s">
        <v>71</v>
      </c>
      <c r="V5" s="26" t="s">
        <v>72</v>
      </c>
      <c r="W5">
        <f t="shared" si="2"/>
        <v>29</v>
      </c>
      <c r="X5">
        <f t="shared" si="0"/>
        <v>7</v>
      </c>
      <c r="Y5">
        <f t="shared" si="1"/>
        <v>2026</v>
      </c>
      <c r="Z5" t="str">
        <f t="shared" si="3"/>
        <v>29-2026</v>
      </c>
      <c r="AA5" t="s">
        <v>44</v>
      </c>
    </row>
    <row r="6" spans="1:29" ht="32.1" customHeight="1">
      <c r="A6" s="29">
        <v>3649288</v>
      </c>
      <c r="B6" s="26" t="s">
        <v>73</v>
      </c>
      <c r="C6" s="26" t="s">
        <v>74</v>
      </c>
      <c r="D6" s="26" t="s">
        <v>29</v>
      </c>
      <c r="E6" s="26" t="s">
        <v>29</v>
      </c>
      <c r="F6" s="26" t="s">
        <v>75</v>
      </c>
      <c r="G6" s="26">
        <v>2026</v>
      </c>
      <c r="H6" s="26" t="s">
        <v>31</v>
      </c>
      <c r="I6" s="26" t="s">
        <v>32</v>
      </c>
      <c r="J6" s="26" t="s">
        <v>76</v>
      </c>
      <c r="K6" s="26"/>
      <c r="L6" s="26" t="s">
        <v>34</v>
      </c>
      <c r="M6" s="26" t="s">
        <v>35</v>
      </c>
      <c r="N6" s="26" t="s">
        <v>77</v>
      </c>
      <c r="O6" s="26"/>
      <c r="P6" s="30" t="s">
        <v>78</v>
      </c>
      <c r="Q6" s="26" t="s">
        <v>38</v>
      </c>
      <c r="R6" s="26" t="s">
        <v>39</v>
      </c>
      <c r="S6" s="26" t="s">
        <v>40</v>
      </c>
      <c r="T6" s="26">
        <v>3103340792</v>
      </c>
      <c r="U6" s="26" t="s">
        <v>79</v>
      </c>
      <c r="V6" s="26" t="s">
        <v>80</v>
      </c>
      <c r="W6">
        <f t="shared" si="2"/>
        <v>29</v>
      </c>
      <c r="X6">
        <f t="shared" si="0"/>
        <v>7</v>
      </c>
      <c r="Y6">
        <f t="shared" si="1"/>
        <v>2026</v>
      </c>
      <c r="Z6" t="str">
        <f t="shared" si="3"/>
        <v>29-2026</v>
      </c>
      <c r="AA6" t="s">
        <v>55</v>
      </c>
      <c r="AB6">
        <v>4.7402539522694704</v>
      </c>
      <c r="AC6">
        <v>-74.047801728288505</v>
      </c>
    </row>
    <row r="7" spans="1:29" ht="32.1" customHeight="1">
      <c r="A7" s="29">
        <v>3649297</v>
      </c>
      <c r="B7" s="26" t="s">
        <v>73</v>
      </c>
      <c r="C7" s="26" t="s">
        <v>74</v>
      </c>
      <c r="D7" s="26" t="s">
        <v>29</v>
      </c>
      <c r="E7" s="26" t="s">
        <v>29</v>
      </c>
      <c r="F7" s="26" t="s">
        <v>81</v>
      </c>
      <c r="G7" s="26">
        <v>2026</v>
      </c>
      <c r="H7" s="26" t="s">
        <v>31</v>
      </c>
      <c r="I7" s="26" t="s">
        <v>32</v>
      </c>
      <c r="J7" s="26" t="s">
        <v>82</v>
      </c>
      <c r="K7" s="26"/>
      <c r="L7" s="26" t="s">
        <v>34</v>
      </c>
      <c r="M7" s="26" t="s">
        <v>35</v>
      </c>
      <c r="N7" s="26" t="s">
        <v>83</v>
      </c>
      <c r="O7" s="26"/>
      <c r="P7" s="30" t="s">
        <v>84</v>
      </c>
      <c r="Q7" s="26" t="s">
        <v>38</v>
      </c>
      <c r="R7" s="26" t="s">
        <v>39</v>
      </c>
      <c r="S7" s="26" t="s">
        <v>40</v>
      </c>
      <c r="T7" s="26">
        <v>3004550101</v>
      </c>
      <c r="U7" s="26" t="s">
        <v>85</v>
      </c>
      <c r="V7" s="26" t="s">
        <v>86</v>
      </c>
      <c r="W7">
        <f t="shared" si="2"/>
        <v>29</v>
      </c>
      <c r="X7">
        <f t="shared" si="0"/>
        <v>7</v>
      </c>
      <c r="Y7">
        <f t="shared" si="1"/>
        <v>2026</v>
      </c>
      <c r="Z7" t="str">
        <f t="shared" si="3"/>
        <v>29-2026</v>
      </c>
      <c r="AA7" t="s">
        <v>55</v>
      </c>
      <c r="AB7">
        <v>4.7487732422165099</v>
      </c>
      <c r="AC7">
        <v>-74.0441775661929</v>
      </c>
    </row>
    <row r="8" spans="1:29" ht="32.1" customHeight="1">
      <c r="A8" s="29">
        <v>3649449</v>
      </c>
      <c r="B8" s="26" t="s">
        <v>87</v>
      </c>
      <c r="C8" s="26" t="s">
        <v>88</v>
      </c>
      <c r="D8" s="26" t="s">
        <v>29</v>
      </c>
      <c r="E8" s="26" t="s">
        <v>29</v>
      </c>
      <c r="F8" s="26" t="s">
        <v>89</v>
      </c>
      <c r="G8" s="26">
        <v>2026</v>
      </c>
      <c r="H8" s="26" t="s">
        <v>31</v>
      </c>
      <c r="I8" s="26" t="s">
        <v>32</v>
      </c>
      <c r="J8" s="26" t="s">
        <v>90</v>
      </c>
      <c r="K8" s="26"/>
      <c r="L8" s="26" t="s">
        <v>65</v>
      </c>
      <c r="M8" s="26" t="s">
        <v>66</v>
      </c>
      <c r="N8" s="26" t="s">
        <v>91</v>
      </c>
      <c r="O8" s="26"/>
      <c r="P8" s="30" t="s">
        <v>92</v>
      </c>
      <c r="Q8" s="26" t="s">
        <v>69</v>
      </c>
      <c r="R8" s="26" t="s">
        <v>39</v>
      </c>
      <c r="S8" s="26" t="s">
        <v>40</v>
      </c>
      <c r="T8" s="26" t="s">
        <v>93</v>
      </c>
      <c r="U8" s="26" t="s">
        <v>94</v>
      </c>
      <c r="V8" s="26" t="s">
        <v>95</v>
      </c>
      <c r="W8">
        <f t="shared" si="2"/>
        <v>29</v>
      </c>
      <c r="X8">
        <f t="shared" si="0"/>
        <v>7</v>
      </c>
      <c r="Y8">
        <f t="shared" si="1"/>
        <v>2026</v>
      </c>
      <c r="Z8" t="str">
        <f t="shared" si="3"/>
        <v>29-2026</v>
      </c>
      <c r="AA8" t="s">
        <v>55</v>
      </c>
      <c r="AB8">
        <v>4.8148684273055098</v>
      </c>
      <c r="AC8">
        <v>-75.694004374277299</v>
      </c>
    </row>
    <row r="9" spans="1:29" ht="32.1" customHeight="1">
      <c r="A9" s="29">
        <v>3649582</v>
      </c>
      <c r="B9" s="26" t="s">
        <v>87</v>
      </c>
      <c r="C9" s="26" t="s">
        <v>88</v>
      </c>
      <c r="D9" s="26" t="s">
        <v>29</v>
      </c>
      <c r="E9" s="26" t="s">
        <v>29</v>
      </c>
      <c r="F9" s="26" t="s">
        <v>96</v>
      </c>
      <c r="G9" s="26">
        <v>2026</v>
      </c>
      <c r="H9" s="26" t="s">
        <v>31</v>
      </c>
      <c r="I9" s="26" t="s">
        <v>32</v>
      </c>
      <c r="J9" s="26" t="s">
        <v>97</v>
      </c>
      <c r="K9" s="26"/>
      <c r="L9" s="26" t="s">
        <v>65</v>
      </c>
      <c r="M9" s="26" t="s">
        <v>66</v>
      </c>
      <c r="N9" s="26" t="s">
        <v>98</v>
      </c>
      <c r="O9" s="26"/>
      <c r="P9" s="30" t="s">
        <v>99</v>
      </c>
      <c r="Q9" s="26" t="s">
        <v>38</v>
      </c>
      <c r="R9" s="26" t="s">
        <v>100</v>
      </c>
      <c r="S9" s="26" t="s">
        <v>101</v>
      </c>
      <c r="T9" s="26" t="s">
        <v>102</v>
      </c>
      <c r="U9" s="30" t="s">
        <v>103</v>
      </c>
      <c r="V9" s="26" t="s">
        <v>104</v>
      </c>
      <c r="W9">
        <f t="shared" si="2"/>
        <v>29</v>
      </c>
      <c r="X9">
        <f t="shared" si="0"/>
        <v>7</v>
      </c>
      <c r="Y9">
        <f t="shared" si="1"/>
        <v>2026</v>
      </c>
      <c r="Z9" t="str">
        <f t="shared" si="3"/>
        <v>29-2026</v>
      </c>
      <c r="AA9" t="s">
        <v>55</v>
      </c>
      <c r="AB9">
        <v>4.8134006544967303</v>
      </c>
      <c r="AC9">
        <v>-75.699304830684</v>
      </c>
    </row>
    <row r="10" spans="1:29" ht="32.1" customHeight="1">
      <c r="A10" s="29">
        <v>3649592</v>
      </c>
      <c r="B10" s="26" t="s">
        <v>105</v>
      </c>
      <c r="C10" s="26" t="s">
        <v>106</v>
      </c>
      <c r="D10" s="26" t="s">
        <v>29</v>
      </c>
      <c r="E10" s="26" t="s">
        <v>29</v>
      </c>
      <c r="F10" s="26" t="s">
        <v>107</v>
      </c>
      <c r="G10" s="26">
        <v>2026</v>
      </c>
      <c r="H10" s="26" t="s">
        <v>31</v>
      </c>
      <c r="I10" s="26" t="s">
        <v>32</v>
      </c>
      <c r="J10" s="26" t="s">
        <v>108</v>
      </c>
      <c r="K10" s="26"/>
      <c r="L10" s="26" t="s">
        <v>65</v>
      </c>
      <c r="M10" s="26" t="s">
        <v>66</v>
      </c>
      <c r="N10" s="26" t="s">
        <v>109</v>
      </c>
      <c r="O10" s="26"/>
      <c r="P10" s="30" t="s">
        <v>110</v>
      </c>
      <c r="Q10" s="26" t="s">
        <v>38</v>
      </c>
      <c r="R10" s="26" t="s">
        <v>39</v>
      </c>
      <c r="S10" s="26" t="s">
        <v>40</v>
      </c>
      <c r="T10" s="26">
        <v>3009121600</v>
      </c>
      <c r="U10" s="26" t="s">
        <v>111</v>
      </c>
      <c r="V10" s="26" t="s">
        <v>112</v>
      </c>
      <c r="W10">
        <f t="shared" si="2"/>
        <v>29</v>
      </c>
      <c r="X10">
        <f t="shared" si="0"/>
        <v>7</v>
      </c>
      <c r="Y10">
        <f t="shared" si="1"/>
        <v>2026</v>
      </c>
      <c r="Z10" t="str">
        <f t="shared" si="3"/>
        <v>29-2026</v>
      </c>
      <c r="AA10" t="s">
        <v>55</v>
      </c>
      <c r="AB10">
        <v>4.8082106455401501</v>
      </c>
      <c r="AC10">
        <v>-75.688230399999597</v>
      </c>
    </row>
    <row r="11" spans="1:29" ht="32.1" customHeight="1">
      <c r="A11" s="29">
        <v>3649609</v>
      </c>
      <c r="B11" s="26" t="s">
        <v>113</v>
      </c>
      <c r="C11" s="26" t="s">
        <v>114</v>
      </c>
      <c r="D11" s="26" t="s">
        <v>29</v>
      </c>
      <c r="E11" s="26" t="s">
        <v>29</v>
      </c>
      <c r="F11" s="26" t="s">
        <v>115</v>
      </c>
      <c r="G11" s="26">
        <v>2026</v>
      </c>
      <c r="H11" s="26" t="s">
        <v>31</v>
      </c>
      <c r="I11" s="26" t="s">
        <v>32</v>
      </c>
      <c r="J11" s="26" t="s">
        <v>116</v>
      </c>
      <c r="K11" s="26"/>
      <c r="L11" s="26" t="s">
        <v>34</v>
      </c>
      <c r="M11" s="26" t="s">
        <v>117</v>
      </c>
      <c r="N11" s="26" t="s">
        <v>118</v>
      </c>
      <c r="O11" s="26"/>
      <c r="P11" s="30" t="s">
        <v>119</v>
      </c>
      <c r="Q11" s="26" t="s">
        <v>69</v>
      </c>
      <c r="R11" s="26" t="s">
        <v>39</v>
      </c>
      <c r="S11" s="26" t="s">
        <v>120</v>
      </c>
      <c r="T11" s="26">
        <v>3104257782</v>
      </c>
      <c r="U11" s="26" t="s">
        <v>121</v>
      </c>
      <c r="V11" s="26" t="s">
        <v>122</v>
      </c>
      <c r="W11">
        <f t="shared" si="2"/>
        <v>29</v>
      </c>
      <c r="X11">
        <f t="shared" si="0"/>
        <v>7</v>
      </c>
      <c r="Y11">
        <f t="shared" si="1"/>
        <v>2026</v>
      </c>
      <c r="Z11" t="str">
        <f t="shared" si="3"/>
        <v>29-2026</v>
      </c>
      <c r="AA11" t="s">
        <v>55</v>
      </c>
      <c r="AB11">
        <v>5.0009072881179204</v>
      </c>
      <c r="AC11">
        <v>-73.999167262091305</v>
      </c>
    </row>
    <row r="12" spans="1:29" ht="32.1" customHeight="1">
      <c r="A12" s="29">
        <v>3652749</v>
      </c>
      <c r="B12" s="26" t="s">
        <v>123</v>
      </c>
      <c r="C12" s="26" t="s">
        <v>124</v>
      </c>
      <c r="D12" s="26" t="s">
        <v>125</v>
      </c>
      <c r="E12" s="26" t="s">
        <v>125</v>
      </c>
      <c r="F12" s="26" t="s">
        <v>126</v>
      </c>
      <c r="G12" s="26">
        <v>2026</v>
      </c>
      <c r="H12" s="26" t="s">
        <v>31</v>
      </c>
      <c r="I12" s="26" t="s">
        <v>32</v>
      </c>
      <c r="J12" s="26" t="s">
        <v>127</v>
      </c>
      <c r="K12" s="26" t="s">
        <v>128</v>
      </c>
      <c r="L12" s="26" t="s">
        <v>34</v>
      </c>
      <c r="M12" s="26" t="s">
        <v>35</v>
      </c>
      <c r="N12" s="26" t="s">
        <v>129</v>
      </c>
      <c r="O12" s="26"/>
      <c r="P12" s="30" t="s">
        <v>130</v>
      </c>
      <c r="Q12" s="26" t="s">
        <v>69</v>
      </c>
      <c r="R12" s="26" t="s">
        <v>39</v>
      </c>
      <c r="S12" s="26" t="s">
        <v>40</v>
      </c>
      <c r="T12" s="26">
        <v>3112914286</v>
      </c>
      <c r="U12" s="26" t="s">
        <v>131</v>
      </c>
      <c r="V12" s="26" t="s">
        <v>132</v>
      </c>
      <c r="W12">
        <f t="shared" si="2"/>
        <v>29</v>
      </c>
      <c r="X12">
        <f t="shared" si="0"/>
        <v>7</v>
      </c>
      <c r="Y12">
        <f t="shared" si="1"/>
        <v>2026</v>
      </c>
      <c r="Z12" t="str">
        <f t="shared" si="3"/>
        <v>29-2026</v>
      </c>
      <c r="AA12" t="s">
        <v>55</v>
      </c>
      <c r="AB12">
        <v>4.63943295015559</v>
      </c>
      <c r="AC12">
        <v>-74.065112728285797</v>
      </c>
    </row>
    <row r="13" spans="1:29" ht="32.1" customHeight="1">
      <c r="A13" s="29">
        <v>3652752</v>
      </c>
      <c r="B13" s="26" t="s">
        <v>123</v>
      </c>
      <c r="C13" s="26" t="s">
        <v>124</v>
      </c>
      <c r="D13" s="26" t="s">
        <v>125</v>
      </c>
      <c r="E13" s="26" t="s">
        <v>125</v>
      </c>
      <c r="F13" s="26" t="s">
        <v>133</v>
      </c>
      <c r="G13" s="26">
        <v>2026</v>
      </c>
      <c r="H13" s="26" t="s">
        <v>31</v>
      </c>
      <c r="I13" s="26" t="s">
        <v>32</v>
      </c>
      <c r="J13" s="26" t="s">
        <v>134</v>
      </c>
      <c r="K13" s="26" t="s">
        <v>135</v>
      </c>
      <c r="L13" s="26" t="s">
        <v>34</v>
      </c>
      <c r="M13" s="26" t="s">
        <v>35</v>
      </c>
      <c r="N13" s="26" t="s">
        <v>136</v>
      </c>
      <c r="O13" s="26"/>
      <c r="P13" s="30" t="s">
        <v>137</v>
      </c>
      <c r="Q13" s="26" t="s">
        <v>69</v>
      </c>
      <c r="R13" s="26" t="s">
        <v>100</v>
      </c>
      <c r="S13" s="26" t="s">
        <v>40</v>
      </c>
      <c r="T13" s="26">
        <v>3112034494</v>
      </c>
      <c r="U13" s="26" t="s">
        <v>131</v>
      </c>
      <c r="V13" s="26" t="s">
        <v>138</v>
      </c>
      <c r="W13">
        <f t="shared" si="2"/>
        <v>29</v>
      </c>
      <c r="X13">
        <f t="shared" si="0"/>
        <v>7</v>
      </c>
      <c r="Y13">
        <f t="shared" si="1"/>
        <v>2026</v>
      </c>
      <c r="Z13" t="str">
        <f t="shared" si="3"/>
        <v>29-2026</v>
      </c>
      <c r="AA13" t="s">
        <v>55</v>
      </c>
      <c r="AB13">
        <v>4.7013211899417797</v>
      </c>
      <c r="AC13">
        <v>-74.047880000000305</v>
      </c>
    </row>
    <row r="14" spans="1:29" ht="32.1" customHeight="1">
      <c r="A14" s="29">
        <v>3652756</v>
      </c>
      <c r="B14" s="26" t="s">
        <v>123</v>
      </c>
      <c r="C14" s="26" t="s">
        <v>124</v>
      </c>
      <c r="D14" s="26" t="s">
        <v>125</v>
      </c>
      <c r="E14" s="26" t="s">
        <v>125</v>
      </c>
      <c r="F14" s="26" t="s">
        <v>139</v>
      </c>
      <c r="G14" s="26">
        <v>2026</v>
      </c>
      <c r="H14" s="26" t="s">
        <v>31</v>
      </c>
      <c r="I14" s="26" t="s">
        <v>32</v>
      </c>
      <c r="J14" s="26" t="s">
        <v>140</v>
      </c>
      <c r="K14" s="26" t="s">
        <v>141</v>
      </c>
      <c r="L14" s="26" t="s">
        <v>34</v>
      </c>
      <c r="M14" s="26" t="s">
        <v>35</v>
      </c>
      <c r="N14" s="26" t="s">
        <v>142</v>
      </c>
      <c r="O14" s="26"/>
      <c r="P14" s="30" t="s">
        <v>143</v>
      </c>
      <c r="Q14" s="26" t="s">
        <v>69</v>
      </c>
      <c r="R14" s="26" t="s">
        <v>100</v>
      </c>
      <c r="S14" s="26" t="s">
        <v>40</v>
      </c>
      <c r="T14" s="26">
        <v>3114910947</v>
      </c>
      <c r="U14" s="26" t="s">
        <v>144</v>
      </c>
      <c r="V14" s="26" t="s">
        <v>145</v>
      </c>
      <c r="W14">
        <f t="shared" si="2"/>
        <v>29</v>
      </c>
      <c r="X14">
        <f t="shared" si="0"/>
        <v>7</v>
      </c>
      <c r="Y14">
        <f t="shared" si="1"/>
        <v>2026</v>
      </c>
      <c r="Z14" t="str">
        <f t="shared" si="3"/>
        <v>29-2026</v>
      </c>
      <c r="AA14" t="s">
        <v>55</v>
      </c>
      <c r="AB14">
        <v>4.6983514463927198</v>
      </c>
      <c r="AC14">
        <v>-74.043404099997403</v>
      </c>
    </row>
    <row r="15" spans="1:29" ht="32.1" customHeight="1">
      <c r="A15" s="29">
        <v>3652790</v>
      </c>
      <c r="B15" s="26" t="s">
        <v>146</v>
      </c>
      <c r="C15" s="26" t="s">
        <v>147</v>
      </c>
      <c r="D15" s="26" t="s">
        <v>125</v>
      </c>
      <c r="E15" s="26" t="s">
        <v>125</v>
      </c>
      <c r="F15" s="26" t="s">
        <v>148</v>
      </c>
      <c r="G15" s="26">
        <v>2026</v>
      </c>
      <c r="H15" s="26" t="s">
        <v>31</v>
      </c>
      <c r="I15" s="26" t="s">
        <v>32</v>
      </c>
      <c r="J15" s="26" t="s">
        <v>149</v>
      </c>
      <c r="K15" s="26"/>
      <c r="L15" s="26" t="s">
        <v>34</v>
      </c>
      <c r="M15" s="26" t="s">
        <v>35</v>
      </c>
      <c r="N15" s="26" t="s">
        <v>150</v>
      </c>
      <c r="O15" s="26"/>
      <c r="P15" s="30" t="s">
        <v>151</v>
      </c>
      <c r="Q15" s="26" t="s">
        <v>152</v>
      </c>
      <c r="R15" s="26" t="s">
        <v>39</v>
      </c>
      <c r="S15" s="26" t="s">
        <v>70</v>
      </c>
      <c r="T15" s="26">
        <v>3102521005</v>
      </c>
      <c r="U15" s="26" t="s">
        <v>153</v>
      </c>
      <c r="V15" s="26" t="s">
        <v>154</v>
      </c>
      <c r="W15">
        <f t="shared" si="2"/>
        <v>29</v>
      </c>
      <c r="X15">
        <f t="shared" si="0"/>
        <v>7</v>
      </c>
      <c r="Y15">
        <f t="shared" si="1"/>
        <v>2026</v>
      </c>
      <c r="Z15" t="str">
        <f t="shared" si="3"/>
        <v>29-2026</v>
      </c>
      <c r="AA15" t="s">
        <v>55</v>
      </c>
      <c r="AB15">
        <v>4.5608458575304303</v>
      </c>
      <c r="AC15">
        <v>-74.126013736619299</v>
      </c>
    </row>
    <row r="16" spans="1:29" ht="32.1" customHeight="1">
      <c r="A16" s="29">
        <v>3652807</v>
      </c>
      <c r="B16" s="26" t="s">
        <v>123</v>
      </c>
      <c r="C16" s="26" t="s">
        <v>124</v>
      </c>
      <c r="D16" s="26" t="s">
        <v>125</v>
      </c>
      <c r="E16" s="26" t="s">
        <v>125</v>
      </c>
      <c r="F16" s="26" t="s">
        <v>155</v>
      </c>
      <c r="G16" s="26">
        <v>2026</v>
      </c>
      <c r="H16" s="26" t="s">
        <v>31</v>
      </c>
      <c r="I16" s="26" t="s">
        <v>32</v>
      </c>
      <c r="J16" s="26" t="s">
        <v>156</v>
      </c>
      <c r="K16" s="26"/>
      <c r="L16" s="26" t="s">
        <v>34</v>
      </c>
      <c r="M16" s="26" t="s">
        <v>35</v>
      </c>
      <c r="N16" s="26" t="s">
        <v>157</v>
      </c>
      <c r="O16" s="26"/>
      <c r="P16" s="30" t="s">
        <v>158</v>
      </c>
      <c r="Q16" s="26" t="s">
        <v>69</v>
      </c>
      <c r="R16" s="26" t="s">
        <v>100</v>
      </c>
      <c r="S16" s="26" t="s">
        <v>40</v>
      </c>
      <c r="T16" s="26" t="s">
        <v>159</v>
      </c>
      <c r="U16" s="26" t="s">
        <v>131</v>
      </c>
      <c r="V16" s="26" t="s">
        <v>160</v>
      </c>
      <c r="W16">
        <f t="shared" si="2"/>
        <v>29</v>
      </c>
      <c r="X16">
        <f t="shared" si="0"/>
        <v>7</v>
      </c>
      <c r="Y16">
        <f t="shared" si="1"/>
        <v>2026</v>
      </c>
      <c r="Z16" t="str">
        <f t="shared" si="3"/>
        <v>29-2026</v>
      </c>
      <c r="AA16" t="s">
        <v>55</v>
      </c>
      <c r="AB16">
        <v>4.6970167212173299</v>
      </c>
      <c r="AC16">
        <v>-74.044096808662403</v>
      </c>
    </row>
    <row r="17" spans="1:29" ht="32.1" customHeight="1">
      <c r="A17" s="29">
        <v>3652812</v>
      </c>
      <c r="B17" s="26" t="s">
        <v>123</v>
      </c>
      <c r="C17" s="26" t="s">
        <v>124</v>
      </c>
      <c r="D17" s="26" t="s">
        <v>125</v>
      </c>
      <c r="E17" s="26" t="s">
        <v>125</v>
      </c>
      <c r="F17" s="26" t="s">
        <v>161</v>
      </c>
      <c r="G17" s="26">
        <v>2026</v>
      </c>
      <c r="H17" s="26" t="s">
        <v>31</v>
      </c>
      <c r="I17" s="26" t="s">
        <v>32</v>
      </c>
      <c r="J17" s="26" t="s">
        <v>162</v>
      </c>
      <c r="K17" s="26"/>
      <c r="L17" s="26" t="s">
        <v>34</v>
      </c>
      <c r="M17" s="26" t="s">
        <v>35</v>
      </c>
      <c r="N17" s="26" t="s">
        <v>163</v>
      </c>
      <c r="O17" s="26"/>
      <c r="P17" s="30" t="s">
        <v>164</v>
      </c>
      <c r="Q17" s="26" t="s">
        <v>69</v>
      </c>
      <c r="R17" s="26" t="s">
        <v>100</v>
      </c>
      <c r="S17" s="26" t="s">
        <v>40</v>
      </c>
      <c r="T17" s="26">
        <v>3105722683</v>
      </c>
      <c r="U17" s="26" t="s">
        <v>165</v>
      </c>
      <c r="V17" s="26" t="s">
        <v>166</v>
      </c>
      <c r="W17">
        <f t="shared" si="2"/>
        <v>29</v>
      </c>
      <c r="X17">
        <f t="shared" si="0"/>
        <v>7</v>
      </c>
      <c r="Y17">
        <f t="shared" si="1"/>
        <v>2026</v>
      </c>
      <c r="Z17" t="str">
        <f t="shared" si="3"/>
        <v>29-2026</v>
      </c>
      <c r="AA17" t="s">
        <v>55</v>
      </c>
      <c r="AB17">
        <v>4.6976472368839497</v>
      </c>
      <c r="AC17">
        <v>-74.045903241507105</v>
      </c>
    </row>
    <row r="18" spans="1:29" ht="32.1" customHeight="1">
      <c r="A18" s="29">
        <v>3652852</v>
      </c>
      <c r="B18" s="26" t="s">
        <v>167</v>
      </c>
      <c r="C18" s="26" t="s">
        <v>168</v>
      </c>
      <c r="D18" s="26" t="s">
        <v>125</v>
      </c>
      <c r="E18" s="26" t="s">
        <v>125</v>
      </c>
      <c r="F18" s="26" t="s">
        <v>169</v>
      </c>
      <c r="G18" s="26">
        <v>2026</v>
      </c>
      <c r="H18" s="26" t="s">
        <v>31</v>
      </c>
      <c r="I18" s="26" t="s">
        <v>32</v>
      </c>
      <c r="J18" s="26" t="s">
        <v>170</v>
      </c>
      <c r="K18" s="26"/>
      <c r="L18" s="26" t="s">
        <v>34</v>
      </c>
      <c r="M18" s="26" t="s">
        <v>171</v>
      </c>
      <c r="N18" s="26" t="s">
        <v>172</v>
      </c>
      <c r="O18" s="26"/>
      <c r="P18" s="30" t="s">
        <v>173</v>
      </c>
      <c r="Q18" s="26" t="s">
        <v>69</v>
      </c>
      <c r="R18" s="26" t="s">
        <v>39</v>
      </c>
      <c r="S18" s="26" t="s">
        <v>40</v>
      </c>
      <c r="T18" s="26" t="s">
        <v>174</v>
      </c>
      <c r="U18" s="26">
        <v>3002661196</v>
      </c>
      <c r="V18" s="26" t="s">
        <v>175</v>
      </c>
      <c r="W18">
        <f t="shared" si="2"/>
        <v>29</v>
      </c>
      <c r="X18">
        <f t="shared" si="0"/>
        <v>7</v>
      </c>
      <c r="Y18">
        <f t="shared" si="1"/>
        <v>2026</v>
      </c>
      <c r="Z18" t="str">
        <f t="shared" si="3"/>
        <v>29-2026</v>
      </c>
      <c r="AA18" t="s">
        <v>55</v>
      </c>
      <c r="AB18">
        <v>4.3265115472693196</v>
      </c>
      <c r="AC18">
        <v>-74.396469270556196</v>
      </c>
    </row>
    <row r="19" spans="1:29" ht="32.1" customHeight="1">
      <c r="A19" s="29">
        <v>3652942</v>
      </c>
      <c r="B19" s="26" t="s">
        <v>176</v>
      </c>
      <c r="C19" s="26" t="s">
        <v>177</v>
      </c>
      <c r="D19" s="26" t="s">
        <v>125</v>
      </c>
      <c r="E19" s="26" t="s">
        <v>125</v>
      </c>
      <c r="F19" s="26" t="s">
        <v>178</v>
      </c>
      <c r="G19" s="26">
        <v>2026</v>
      </c>
      <c r="H19" s="26" t="s">
        <v>31</v>
      </c>
      <c r="I19" s="26" t="s">
        <v>32</v>
      </c>
      <c r="J19" s="26" t="s">
        <v>179</v>
      </c>
      <c r="K19" s="26"/>
      <c r="L19" s="26" t="s">
        <v>34</v>
      </c>
      <c r="M19" s="26" t="s">
        <v>35</v>
      </c>
      <c r="N19" s="26" t="s">
        <v>180</v>
      </c>
      <c r="O19" s="26"/>
      <c r="P19" s="30" t="s">
        <v>181</v>
      </c>
      <c r="Q19" s="26" t="s">
        <v>38</v>
      </c>
      <c r="R19" s="26" t="s">
        <v>100</v>
      </c>
      <c r="S19" s="26" t="s">
        <v>40</v>
      </c>
      <c r="T19" s="26">
        <v>3112914286</v>
      </c>
      <c r="U19" s="26" t="s">
        <v>182</v>
      </c>
      <c r="V19" s="26" t="s">
        <v>183</v>
      </c>
      <c r="W19">
        <f t="shared" si="2"/>
        <v>29</v>
      </c>
      <c r="X19">
        <f t="shared" si="0"/>
        <v>7</v>
      </c>
      <c r="Y19">
        <f t="shared" si="1"/>
        <v>2026</v>
      </c>
      <c r="Z19" t="str">
        <f t="shared" si="3"/>
        <v>29-2026</v>
      </c>
      <c r="AA19" t="s">
        <v>184</v>
      </c>
    </row>
    <row r="20" spans="1:29" ht="32.1" customHeight="1">
      <c r="A20" s="29">
        <v>3652948</v>
      </c>
      <c r="B20" s="26" t="s">
        <v>185</v>
      </c>
      <c r="C20" s="26" t="s">
        <v>186</v>
      </c>
      <c r="D20" s="26" t="s">
        <v>125</v>
      </c>
      <c r="E20" s="26" t="s">
        <v>125</v>
      </c>
      <c r="F20" s="26" t="s">
        <v>187</v>
      </c>
      <c r="G20" s="26">
        <v>2026</v>
      </c>
      <c r="H20" s="26" t="s">
        <v>31</v>
      </c>
      <c r="I20" s="26" t="s">
        <v>32</v>
      </c>
      <c r="J20" s="26" t="s">
        <v>188</v>
      </c>
      <c r="K20" s="26"/>
      <c r="L20" s="26" t="s">
        <v>34</v>
      </c>
      <c r="M20" s="26" t="s">
        <v>171</v>
      </c>
      <c r="N20" s="26" t="s">
        <v>189</v>
      </c>
      <c r="O20" s="26"/>
      <c r="P20" s="30" t="s">
        <v>190</v>
      </c>
      <c r="Q20" s="26" t="s">
        <v>69</v>
      </c>
      <c r="R20" s="26" t="s">
        <v>100</v>
      </c>
      <c r="S20" s="26" t="s">
        <v>40</v>
      </c>
      <c r="T20" s="26">
        <v>3105652759</v>
      </c>
      <c r="U20" s="26" t="s">
        <v>191</v>
      </c>
      <c r="V20" s="26" t="s">
        <v>192</v>
      </c>
      <c r="W20">
        <f t="shared" si="2"/>
        <v>29</v>
      </c>
      <c r="X20">
        <f t="shared" si="0"/>
        <v>7</v>
      </c>
      <c r="Y20">
        <f t="shared" si="1"/>
        <v>2026</v>
      </c>
      <c r="Z20" t="str">
        <f t="shared" si="3"/>
        <v>29-2026</v>
      </c>
      <c r="AA20" t="s">
        <v>55</v>
      </c>
      <c r="AB20">
        <v>4.8180466816630698</v>
      </c>
      <c r="AC20">
        <v>-74.358422879050096</v>
      </c>
    </row>
    <row r="21" spans="1:29" ht="32.1" customHeight="1">
      <c r="A21" s="29">
        <v>3652991</v>
      </c>
      <c r="B21" s="26" t="s">
        <v>185</v>
      </c>
      <c r="C21" s="26" t="s">
        <v>186</v>
      </c>
      <c r="D21" s="26" t="s">
        <v>125</v>
      </c>
      <c r="E21" s="26" t="s">
        <v>125</v>
      </c>
      <c r="F21" s="26" t="s">
        <v>193</v>
      </c>
      <c r="G21" s="26">
        <v>2026</v>
      </c>
      <c r="H21" s="26" t="s">
        <v>31</v>
      </c>
      <c r="I21" s="26" t="s">
        <v>32</v>
      </c>
      <c r="J21" s="26" t="s">
        <v>194</v>
      </c>
      <c r="K21" s="26" t="s">
        <v>195</v>
      </c>
      <c r="L21" s="26" t="s">
        <v>34</v>
      </c>
      <c r="M21" s="26" t="s">
        <v>171</v>
      </c>
      <c r="N21" s="26" t="s">
        <v>196</v>
      </c>
      <c r="O21" s="26"/>
      <c r="P21" s="30" t="s">
        <v>197</v>
      </c>
      <c r="Q21" s="26" t="s">
        <v>38</v>
      </c>
      <c r="R21" s="26" t="s">
        <v>39</v>
      </c>
      <c r="S21" s="26" t="s">
        <v>101</v>
      </c>
      <c r="T21" s="26">
        <v>3115576168</v>
      </c>
      <c r="U21" s="26" t="s">
        <v>191</v>
      </c>
      <c r="V21" s="26" t="s">
        <v>198</v>
      </c>
      <c r="W21">
        <f t="shared" si="2"/>
        <v>29</v>
      </c>
      <c r="X21">
        <f t="shared" si="0"/>
        <v>7</v>
      </c>
      <c r="Y21">
        <f t="shared" si="1"/>
        <v>2026</v>
      </c>
      <c r="Z21" t="str">
        <f t="shared" si="3"/>
        <v>29-2026</v>
      </c>
      <c r="AA21" t="s">
        <v>55</v>
      </c>
      <c r="AB21">
        <v>4.8077699537529099</v>
      </c>
      <c r="AC21">
        <v>-74.3498237283534</v>
      </c>
    </row>
    <row r="22" spans="1:29" ht="32.1" customHeight="1">
      <c r="A22" s="29">
        <v>3653000</v>
      </c>
      <c r="B22" s="26" t="s">
        <v>199</v>
      </c>
      <c r="C22" s="26" t="s">
        <v>200</v>
      </c>
      <c r="D22" s="26" t="s">
        <v>125</v>
      </c>
      <c r="E22" s="26" t="s">
        <v>125</v>
      </c>
      <c r="F22" s="26" t="s">
        <v>201</v>
      </c>
      <c r="G22" s="26">
        <v>2026</v>
      </c>
      <c r="H22" s="26" t="s">
        <v>31</v>
      </c>
      <c r="I22" s="26" t="s">
        <v>32</v>
      </c>
      <c r="J22" s="26" t="s">
        <v>202</v>
      </c>
      <c r="K22" s="26" t="s">
        <v>203</v>
      </c>
      <c r="L22" s="26" t="s">
        <v>34</v>
      </c>
      <c r="M22" s="26" t="s">
        <v>35</v>
      </c>
      <c r="N22" s="26" t="s">
        <v>204</v>
      </c>
      <c r="O22" s="26"/>
      <c r="P22" s="30" t="s">
        <v>205</v>
      </c>
      <c r="Q22" s="26" t="s">
        <v>69</v>
      </c>
      <c r="R22" s="26" t="s">
        <v>39</v>
      </c>
      <c r="S22" s="26" t="s">
        <v>40</v>
      </c>
      <c r="T22" s="26" t="s">
        <v>206</v>
      </c>
      <c r="U22" s="26" t="s">
        <v>207</v>
      </c>
      <c r="V22" s="26" t="s">
        <v>208</v>
      </c>
      <c r="W22">
        <f t="shared" si="2"/>
        <v>29</v>
      </c>
      <c r="X22">
        <f t="shared" si="0"/>
        <v>7</v>
      </c>
      <c r="Y22">
        <f t="shared" si="1"/>
        <v>2026</v>
      </c>
      <c r="Z22" t="str">
        <f t="shared" si="3"/>
        <v>29-2026</v>
      </c>
      <c r="AA22" t="s">
        <v>55</v>
      </c>
      <c r="AB22">
        <v>4.6289799591781398</v>
      </c>
      <c r="AC22">
        <v>-74.114922000028599</v>
      </c>
    </row>
    <row r="23" spans="1:29" ht="32.1" customHeight="1">
      <c r="A23" s="26">
        <v>3653008</v>
      </c>
      <c r="B23" s="26" t="s">
        <v>185</v>
      </c>
      <c r="C23" s="26" t="s">
        <v>186</v>
      </c>
      <c r="D23" s="26" t="s">
        <v>125</v>
      </c>
      <c r="E23" s="26" t="s">
        <v>125</v>
      </c>
      <c r="F23" s="26" t="s">
        <v>209</v>
      </c>
      <c r="G23" s="26">
        <v>2026</v>
      </c>
      <c r="H23" s="26" t="s">
        <v>31</v>
      </c>
      <c r="I23" s="26" t="s">
        <v>32</v>
      </c>
      <c r="J23" s="26" t="s">
        <v>210</v>
      </c>
      <c r="K23" s="26"/>
      <c r="L23" s="26" t="s">
        <v>34</v>
      </c>
      <c r="M23" s="26" t="s">
        <v>171</v>
      </c>
      <c r="N23" s="26" t="s">
        <v>211</v>
      </c>
      <c r="O23" s="26"/>
      <c r="P23" s="30" t="s">
        <v>212</v>
      </c>
      <c r="Q23" s="26" t="s">
        <v>38</v>
      </c>
      <c r="R23" s="26" t="s">
        <v>100</v>
      </c>
      <c r="S23" s="26" t="s">
        <v>70</v>
      </c>
      <c r="T23" s="26" t="s">
        <v>213</v>
      </c>
      <c r="U23" s="26" t="s">
        <v>191</v>
      </c>
      <c r="V23" s="26" t="s">
        <v>214</v>
      </c>
      <c r="W23">
        <f t="shared" si="2"/>
        <v>29</v>
      </c>
      <c r="X23">
        <f t="shared" si="0"/>
        <v>7</v>
      </c>
      <c r="Y23">
        <f t="shared" si="1"/>
        <v>2026</v>
      </c>
      <c r="Z23" t="str">
        <f t="shared" si="3"/>
        <v>29-2026</v>
      </c>
      <c r="AA23" t="s">
        <v>55</v>
      </c>
      <c r="AB23">
        <v>4.8101169010620399</v>
      </c>
      <c r="AC23">
        <v>-74.350224000008893</v>
      </c>
    </row>
    <row r="24" spans="1:29" ht="32.1" customHeight="1">
      <c r="A24" s="26">
        <v>3653140</v>
      </c>
      <c r="B24" s="26" t="s">
        <v>176</v>
      </c>
      <c r="C24" s="26" t="s">
        <v>177</v>
      </c>
      <c r="D24" s="26" t="s">
        <v>125</v>
      </c>
      <c r="E24" s="26" t="s">
        <v>125</v>
      </c>
      <c r="F24" s="26" t="s">
        <v>215</v>
      </c>
      <c r="G24" s="26">
        <v>2026</v>
      </c>
      <c r="H24" s="26" t="s">
        <v>31</v>
      </c>
      <c r="I24" s="26" t="s">
        <v>32</v>
      </c>
      <c r="J24" s="26" t="s">
        <v>216</v>
      </c>
      <c r="K24" s="26"/>
      <c r="L24" s="26" t="s">
        <v>34</v>
      </c>
      <c r="M24" s="26" t="s">
        <v>35</v>
      </c>
      <c r="N24" s="26" t="s">
        <v>217</v>
      </c>
      <c r="O24" s="26"/>
      <c r="P24" s="30" t="s">
        <v>218</v>
      </c>
      <c r="Q24" s="26" t="s">
        <v>38</v>
      </c>
      <c r="R24" s="26" t="s">
        <v>39</v>
      </c>
      <c r="S24" s="26" t="s">
        <v>70</v>
      </c>
      <c r="T24" s="26">
        <v>3142406629</v>
      </c>
      <c r="U24" s="26" t="s">
        <v>191</v>
      </c>
      <c r="V24" s="26" t="s">
        <v>219</v>
      </c>
      <c r="W24">
        <f t="shared" si="2"/>
        <v>29</v>
      </c>
      <c r="X24">
        <f t="shared" si="0"/>
        <v>7</v>
      </c>
      <c r="Y24">
        <f t="shared" si="1"/>
        <v>2026</v>
      </c>
      <c r="Z24" t="str">
        <f t="shared" si="3"/>
        <v>29-2026</v>
      </c>
      <c r="AA24" t="s">
        <v>55</v>
      </c>
      <c r="AB24">
        <v>4.6710371533935504</v>
      </c>
      <c r="AC24">
        <v>-74.106393869313095</v>
      </c>
    </row>
    <row r="25" spans="1:29" ht="32.1" customHeight="1">
      <c r="A25" s="26">
        <v>3653143</v>
      </c>
      <c r="B25" s="26" t="s">
        <v>220</v>
      </c>
      <c r="C25" s="26" t="s">
        <v>221</v>
      </c>
      <c r="D25" s="26" t="s">
        <v>125</v>
      </c>
      <c r="E25" s="26" t="s">
        <v>125</v>
      </c>
      <c r="F25" s="26" t="s">
        <v>222</v>
      </c>
      <c r="G25" s="26">
        <v>2026</v>
      </c>
      <c r="H25" s="26" t="s">
        <v>31</v>
      </c>
      <c r="I25" s="26" t="s">
        <v>32</v>
      </c>
      <c r="J25" s="26" t="s">
        <v>223</v>
      </c>
      <c r="K25" s="26"/>
      <c r="L25" s="26" t="s">
        <v>34</v>
      </c>
      <c r="M25" s="26" t="s">
        <v>35</v>
      </c>
      <c r="N25" s="26" t="s">
        <v>224</v>
      </c>
      <c r="O25" s="26"/>
      <c r="P25" s="30" t="s">
        <v>225</v>
      </c>
      <c r="Q25" s="26" t="s">
        <v>38</v>
      </c>
      <c r="R25" s="26" t="s">
        <v>100</v>
      </c>
      <c r="S25" s="26" t="s">
        <v>40</v>
      </c>
      <c r="T25" s="26">
        <v>3114910947</v>
      </c>
      <c r="U25" s="26" t="s">
        <v>44</v>
      </c>
      <c r="V25" s="26" t="s">
        <v>226</v>
      </c>
      <c r="W25">
        <f t="shared" si="2"/>
        <v>29</v>
      </c>
      <c r="X25">
        <f t="shared" si="0"/>
        <v>7</v>
      </c>
      <c r="Y25">
        <f t="shared" si="1"/>
        <v>2026</v>
      </c>
      <c r="Z25" t="str">
        <f t="shared" si="3"/>
        <v>29-2026</v>
      </c>
      <c r="AA25" t="s">
        <v>55</v>
      </c>
      <c r="AB25">
        <v>4.6983253464068202</v>
      </c>
      <c r="AC25">
        <v>-74.0433192000106</v>
      </c>
    </row>
    <row r="26" spans="1:29" ht="32.1" customHeight="1">
      <c r="A26" s="26">
        <v>3653092</v>
      </c>
      <c r="B26" s="26" t="s">
        <v>227</v>
      </c>
      <c r="C26" s="26" t="s">
        <v>228</v>
      </c>
      <c r="D26" s="26" t="s">
        <v>125</v>
      </c>
      <c r="E26" s="26" t="s">
        <v>125</v>
      </c>
      <c r="F26" s="26" t="s">
        <v>229</v>
      </c>
      <c r="G26" s="26">
        <v>2026</v>
      </c>
      <c r="H26" s="26" t="s">
        <v>31</v>
      </c>
      <c r="I26" s="26" t="s">
        <v>32</v>
      </c>
      <c r="J26" s="26" t="s">
        <v>230</v>
      </c>
      <c r="K26" s="26"/>
      <c r="L26" s="26" t="s">
        <v>34</v>
      </c>
      <c r="M26" s="26" t="s">
        <v>171</v>
      </c>
      <c r="N26" s="26" t="s">
        <v>231</v>
      </c>
      <c r="O26" s="26"/>
      <c r="P26" s="30" t="s">
        <v>232</v>
      </c>
      <c r="Q26" s="26" t="s">
        <v>152</v>
      </c>
      <c r="R26" s="26" t="s">
        <v>100</v>
      </c>
      <c r="S26" s="26" t="s">
        <v>70</v>
      </c>
      <c r="T26" s="26">
        <v>3506549064</v>
      </c>
      <c r="U26" s="26">
        <v>3506549064</v>
      </c>
      <c r="V26" s="26" t="s">
        <v>233</v>
      </c>
      <c r="W26">
        <f t="shared" si="2"/>
        <v>29</v>
      </c>
      <c r="X26">
        <f t="shared" si="0"/>
        <v>7</v>
      </c>
      <c r="Y26">
        <f t="shared" si="1"/>
        <v>2026</v>
      </c>
      <c r="Z26" t="str">
        <f t="shared" si="3"/>
        <v>29-2026</v>
      </c>
      <c r="AA26" t="s">
        <v>55</v>
      </c>
      <c r="AB26">
        <v>4.6214150772067697</v>
      </c>
      <c r="AC26">
        <v>-74.068016700000101</v>
      </c>
    </row>
    <row r="27" spans="1:29" ht="32.1" customHeight="1">
      <c r="A27" s="26">
        <v>3656243</v>
      </c>
      <c r="B27" s="26" t="s">
        <v>167</v>
      </c>
      <c r="C27" s="26" t="s">
        <v>168</v>
      </c>
      <c r="D27" s="26" t="s">
        <v>234</v>
      </c>
      <c r="E27" s="26" t="s">
        <v>234</v>
      </c>
      <c r="F27" s="26" t="s">
        <v>235</v>
      </c>
      <c r="G27" s="26">
        <v>2026</v>
      </c>
      <c r="H27" s="26" t="s">
        <v>31</v>
      </c>
      <c r="I27" s="26" t="s">
        <v>32</v>
      </c>
      <c r="J27" s="26" t="s">
        <v>236</v>
      </c>
      <c r="K27" s="26"/>
      <c r="L27" s="26" t="s">
        <v>34</v>
      </c>
      <c r="M27" s="26" t="s">
        <v>171</v>
      </c>
      <c r="N27" s="26" t="s">
        <v>237</v>
      </c>
      <c r="O27" s="26"/>
      <c r="P27" s="30" t="s">
        <v>238</v>
      </c>
      <c r="Q27" s="26" t="s">
        <v>38</v>
      </c>
      <c r="R27" s="26" t="s">
        <v>39</v>
      </c>
      <c r="S27" s="26" t="s">
        <v>40</v>
      </c>
      <c r="T27" s="26" t="s">
        <v>239</v>
      </c>
      <c r="U27" s="26" t="s">
        <v>240</v>
      </c>
      <c r="V27" s="26" t="s">
        <v>241</v>
      </c>
      <c r="W27">
        <f t="shared" si="2"/>
        <v>29</v>
      </c>
      <c r="X27">
        <f t="shared" si="0"/>
        <v>7</v>
      </c>
      <c r="Y27">
        <f t="shared" si="1"/>
        <v>2026</v>
      </c>
      <c r="Z27" t="str">
        <f t="shared" si="3"/>
        <v>29-2026</v>
      </c>
      <c r="AA27" t="s">
        <v>55</v>
      </c>
      <c r="AB27">
        <v>4.2976649519973202</v>
      </c>
      <c r="AC27">
        <v>-74.804779644180798</v>
      </c>
    </row>
    <row r="28" spans="1:29" ht="32.1" customHeight="1">
      <c r="A28" s="26">
        <v>3656464</v>
      </c>
      <c r="B28" s="26" t="s">
        <v>73</v>
      </c>
      <c r="C28" s="26" t="s">
        <v>74</v>
      </c>
      <c r="D28" s="26" t="s">
        <v>234</v>
      </c>
      <c r="E28" s="26" t="s">
        <v>234</v>
      </c>
      <c r="F28" s="26" t="s">
        <v>242</v>
      </c>
      <c r="G28" s="26">
        <v>2026</v>
      </c>
      <c r="H28" s="26" t="s">
        <v>31</v>
      </c>
      <c r="I28" s="26" t="s">
        <v>32</v>
      </c>
      <c r="J28" s="26" t="s">
        <v>243</v>
      </c>
      <c r="K28" s="26"/>
      <c r="L28" s="26" t="s">
        <v>34</v>
      </c>
      <c r="M28" s="26" t="s">
        <v>35</v>
      </c>
      <c r="N28" s="26" t="s">
        <v>244</v>
      </c>
      <c r="O28" s="26"/>
      <c r="P28" s="30" t="s">
        <v>245</v>
      </c>
      <c r="Q28" s="26" t="s">
        <v>38</v>
      </c>
      <c r="R28" s="26" t="s">
        <v>100</v>
      </c>
      <c r="S28" s="26" t="s">
        <v>40</v>
      </c>
      <c r="T28" s="26">
        <v>3123311755</v>
      </c>
      <c r="U28" s="26">
        <v>3208997195</v>
      </c>
      <c r="V28" s="26" t="s">
        <v>246</v>
      </c>
      <c r="W28">
        <f t="shared" si="2"/>
        <v>29</v>
      </c>
      <c r="X28">
        <f t="shared" si="0"/>
        <v>7</v>
      </c>
      <c r="Y28">
        <f t="shared" si="1"/>
        <v>2026</v>
      </c>
      <c r="Z28" t="str">
        <f t="shared" si="3"/>
        <v>29-2026</v>
      </c>
      <c r="AA28" t="s">
        <v>55</v>
      </c>
      <c r="AB28">
        <v>4.7423162697336601</v>
      </c>
      <c r="AC28">
        <v>-74.047421626984203</v>
      </c>
    </row>
    <row r="29" spans="1:29" ht="32.1" customHeight="1">
      <c r="A29" s="26">
        <v>3656477</v>
      </c>
      <c r="B29" s="26" t="s">
        <v>146</v>
      </c>
      <c r="C29" s="26" t="s">
        <v>147</v>
      </c>
      <c r="D29" s="26" t="s">
        <v>234</v>
      </c>
      <c r="E29" s="26" t="s">
        <v>234</v>
      </c>
      <c r="F29" s="26" t="s">
        <v>247</v>
      </c>
      <c r="G29" s="26">
        <v>2026</v>
      </c>
      <c r="H29" s="26" t="s">
        <v>31</v>
      </c>
      <c r="I29" s="26" t="s">
        <v>32</v>
      </c>
      <c r="J29" s="26" t="s">
        <v>248</v>
      </c>
      <c r="K29" s="26"/>
      <c r="L29" s="26" t="s">
        <v>34</v>
      </c>
      <c r="M29" s="26" t="s">
        <v>35</v>
      </c>
      <c r="N29" s="26" t="s">
        <v>249</v>
      </c>
      <c r="O29" s="26"/>
      <c r="P29" s="30" t="s">
        <v>250</v>
      </c>
      <c r="Q29" s="26" t="s">
        <v>152</v>
      </c>
      <c r="R29" s="26" t="s">
        <v>39</v>
      </c>
      <c r="S29" s="26" t="s">
        <v>70</v>
      </c>
      <c r="T29" s="26">
        <v>3205633053</v>
      </c>
      <c r="U29" s="26">
        <v>3205633053</v>
      </c>
      <c r="V29" s="26" t="s">
        <v>251</v>
      </c>
      <c r="W29">
        <f t="shared" si="2"/>
        <v>29</v>
      </c>
      <c r="X29">
        <f t="shared" si="0"/>
        <v>7</v>
      </c>
      <c r="Y29">
        <f t="shared" si="1"/>
        <v>2026</v>
      </c>
      <c r="Z29" t="str">
        <f t="shared" si="3"/>
        <v>29-2026</v>
      </c>
      <c r="AA29" t="s">
        <v>55</v>
      </c>
      <c r="AB29">
        <v>4.5235151000670504</v>
      </c>
      <c r="AC29">
        <v>-74.123654575595296</v>
      </c>
    </row>
    <row r="30" spans="1:29" ht="32.1" customHeight="1">
      <c r="A30" s="26">
        <v>3656520</v>
      </c>
      <c r="B30" s="26" t="s">
        <v>105</v>
      </c>
      <c r="C30" s="26" t="s">
        <v>106</v>
      </c>
      <c r="D30" s="26" t="s">
        <v>234</v>
      </c>
      <c r="E30" s="26" t="s">
        <v>234</v>
      </c>
      <c r="F30" s="26" t="s">
        <v>252</v>
      </c>
      <c r="G30" s="26">
        <v>2026</v>
      </c>
      <c r="H30" s="26" t="s">
        <v>31</v>
      </c>
      <c r="I30" s="26" t="s">
        <v>32</v>
      </c>
      <c r="J30" s="26" t="s">
        <v>253</v>
      </c>
      <c r="K30" s="26"/>
      <c r="L30" s="26" t="s">
        <v>65</v>
      </c>
      <c r="M30" s="26" t="s">
        <v>66</v>
      </c>
      <c r="N30" s="26" t="s">
        <v>254</v>
      </c>
      <c r="O30" s="26"/>
      <c r="P30" s="30" t="s">
        <v>255</v>
      </c>
      <c r="Q30" s="26" t="s">
        <v>69</v>
      </c>
      <c r="R30" s="26" t="s">
        <v>100</v>
      </c>
      <c r="S30" s="26" t="s">
        <v>101</v>
      </c>
      <c r="T30" s="26">
        <v>3104223304</v>
      </c>
      <c r="U30" s="26" t="s">
        <v>256</v>
      </c>
      <c r="V30" s="26" t="s">
        <v>257</v>
      </c>
      <c r="W30">
        <f t="shared" si="2"/>
        <v>29</v>
      </c>
      <c r="X30">
        <f t="shared" si="0"/>
        <v>7</v>
      </c>
      <c r="Y30">
        <f t="shared" si="1"/>
        <v>2026</v>
      </c>
      <c r="Z30" t="str">
        <f t="shared" si="3"/>
        <v>29-2026</v>
      </c>
      <c r="AA30" t="s">
        <v>55</v>
      </c>
      <c r="AB30">
        <v>4.8035609814776299</v>
      </c>
      <c r="AC30">
        <v>-75.690927171519505</v>
      </c>
    </row>
    <row r="31" spans="1:29" ht="32.1" customHeight="1">
      <c r="A31" s="26">
        <v>3656577</v>
      </c>
      <c r="B31" s="26" t="s">
        <v>87</v>
      </c>
      <c r="C31" s="26" t="s">
        <v>88</v>
      </c>
      <c r="D31" s="26" t="s">
        <v>234</v>
      </c>
      <c r="E31" s="26" t="s">
        <v>234</v>
      </c>
      <c r="F31" s="26" t="s">
        <v>258</v>
      </c>
      <c r="G31" s="26">
        <v>2026</v>
      </c>
      <c r="H31" s="26" t="s">
        <v>31</v>
      </c>
      <c r="I31" s="26" t="s">
        <v>32</v>
      </c>
      <c r="J31" s="26" t="s">
        <v>259</v>
      </c>
      <c r="K31" s="26"/>
      <c r="L31" s="26" t="s">
        <v>65</v>
      </c>
      <c r="M31" s="26" t="s">
        <v>66</v>
      </c>
      <c r="N31" s="26" t="s">
        <v>260</v>
      </c>
      <c r="O31" s="26"/>
      <c r="P31" s="30" t="s">
        <v>261</v>
      </c>
      <c r="Q31" s="26" t="s">
        <v>38</v>
      </c>
      <c r="R31" s="26" t="s">
        <v>39</v>
      </c>
      <c r="S31" s="26" t="s">
        <v>70</v>
      </c>
      <c r="T31" s="26" t="s">
        <v>262</v>
      </c>
      <c r="U31" s="26" t="s">
        <v>263</v>
      </c>
      <c r="V31" s="26" t="s">
        <v>264</v>
      </c>
      <c r="W31">
        <f t="shared" si="2"/>
        <v>29</v>
      </c>
      <c r="X31">
        <f t="shared" si="0"/>
        <v>7</v>
      </c>
      <c r="Y31">
        <f t="shared" si="1"/>
        <v>2026</v>
      </c>
      <c r="Z31" t="str">
        <f t="shared" si="3"/>
        <v>29-2026</v>
      </c>
      <c r="AA31" t="s">
        <v>55</v>
      </c>
      <c r="AB31">
        <v>4.8014199279788201</v>
      </c>
      <c r="AC31">
        <v>-75.841607628850099</v>
      </c>
    </row>
    <row r="32" spans="1:29" ht="32.1" customHeight="1">
      <c r="A32" s="26">
        <v>3656588</v>
      </c>
      <c r="B32" s="26" t="s">
        <v>220</v>
      </c>
      <c r="C32" s="26" t="s">
        <v>221</v>
      </c>
      <c r="D32" s="26" t="s">
        <v>234</v>
      </c>
      <c r="E32" s="26" t="s">
        <v>234</v>
      </c>
      <c r="F32" s="26" t="s">
        <v>265</v>
      </c>
      <c r="G32" s="26">
        <v>2026</v>
      </c>
      <c r="H32" s="26" t="s">
        <v>31</v>
      </c>
      <c r="I32" s="26" t="s">
        <v>32</v>
      </c>
      <c r="J32" s="26" t="s">
        <v>266</v>
      </c>
      <c r="K32" s="26"/>
      <c r="L32" s="26" t="s">
        <v>34</v>
      </c>
      <c r="M32" s="26" t="s">
        <v>35</v>
      </c>
      <c r="N32" s="26" t="s">
        <v>267</v>
      </c>
      <c r="O32" s="26"/>
      <c r="P32" s="30" t="s">
        <v>268</v>
      </c>
      <c r="Q32" s="26" t="s">
        <v>38</v>
      </c>
      <c r="R32" s="26" t="s">
        <v>100</v>
      </c>
      <c r="S32" s="26" t="s">
        <v>40</v>
      </c>
      <c r="T32" s="26" t="s">
        <v>269</v>
      </c>
      <c r="U32" s="26" t="s">
        <v>44</v>
      </c>
      <c r="V32" s="26" t="s">
        <v>270</v>
      </c>
      <c r="W32">
        <f t="shared" si="2"/>
        <v>29</v>
      </c>
      <c r="X32">
        <f t="shared" si="0"/>
        <v>7</v>
      </c>
      <c r="Y32">
        <f t="shared" si="1"/>
        <v>2026</v>
      </c>
      <c r="Z32" t="str">
        <f t="shared" si="3"/>
        <v>29-2026</v>
      </c>
      <c r="AA32" t="s">
        <v>55</v>
      </c>
      <c r="AB32">
        <v>4.7032329975330303</v>
      </c>
      <c r="AC32">
        <v>-74.054021598190303</v>
      </c>
    </row>
    <row r="33" spans="1:29" ht="32.1" customHeight="1">
      <c r="A33" s="26">
        <v>3656652</v>
      </c>
      <c r="B33" s="26" t="s">
        <v>73</v>
      </c>
      <c r="C33" s="26" t="s">
        <v>74</v>
      </c>
      <c r="D33" s="26" t="s">
        <v>234</v>
      </c>
      <c r="E33" s="26" t="s">
        <v>234</v>
      </c>
      <c r="F33" s="26" t="s">
        <v>271</v>
      </c>
      <c r="G33" s="26">
        <v>2026</v>
      </c>
      <c r="H33" s="26" t="s">
        <v>31</v>
      </c>
      <c r="I33" s="26" t="s">
        <v>32</v>
      </c>
      <c r="J33" s="26" t="s">
        <v>272</v>
      </c>
      <c r="K33" s="26" t="s">
        <v>273</v>
      </c>
      <c r="L33" s="26" t="s">
        <v>34</v>
      </c>
      <c r="M33" s="26" t="s">
        <v>35</v>
      </c>
      <c r="N33" s="34" t="s">
        <v>274</v>
      </c>
      <c r="O33" s="26"/>
      <c r="P33" s="30" t="s">
        <v>275</v>
      </c>
      <c r="Q33" s="26" t="s">
        <v>152</v>
      </c>
      <c r="R33" s="26" t="s">
        <v>39</v>
      </c>
      <c r="S33" s="26" t="s">
        <v>70</v>
      </c>
      <c r="T33" s="26">
        <v>3124883281</v>
      </c>
      <c r="U33" s="26">
        <v>3028167161</v>
      </c>
      <c r="V33" s="26" t="s">
        <v>276</v>
      </c>
      <c r="W33">
        <f t="shared" si="2"/>
        <v>29</v>
      </c>
      <c r="X33">
        <f t="shared" si="0"/>
        <v>7</v>
      </c>
      <c r="Y33">
        <f t="shared" si="1"/>
        <v>2026</v>
      </c>
      <c r="Z33" t="str">
        <f t="shared" si="3"/>
        <v>29-2026</v>
      </c>
      <c r="AA33" t="s">
        <v>55</v>
      </c>
      <c r="AB33">
        <v>4.7516917299031904</v>
      </c>
      <c r="AC33">
        <v>-74.086346186513794</v>
      </c>
    </row>
    <row r="34" spans="1:29" ht="32.1" customHeight="1">
      <c r="A34" s="29">
        <v>3668119</v>
      </c>
      <c r="B34" s="26" t="s">
        <v>277</v>
      </c>
      <c r="C34" s="26" t="s">
        <v>278</v>
      </c>
      <c r="D34" s="26" t="s">
        <v>279</v>
      </c>
      <c r="E34" s="26" t="s">
        <v>279</v>
      </c>
      <c r="F34" s="26" t="s">
        <v>280</v>
      </c>
      <c r="G34" s="26">
        <v>2026</v>
      </c>
      <c r="H34" s="26" t="s">
        <v>31</v>
      </c>
      <c r="I34" s="26" t="s">
        <v>32</v>
      </c>
      <c r="J34" s="34" t="s">
        <v>281</v>
      </c>
      <c r="K34" s="34"/>
      <c r="L34" s="26" t="s">
        <v>34</v>
      </c>
      <c r="M34" s="32" t="s">
        <v>117</v>
      </c>
      <c r="N34" s="35" t="s">
        <v>282</v>
      </c>
      <c r="O34" s="33"/>
      <c r="P34" s="30" t="s">
        <v>283</v>
      </c>
      <c r="Q34" s="26" t="s">
        <v>152</v>
      </c>
      <c r="R34" s="26" t="s">
        <v>39</v>
      </c>
      <c r="S34" s="26" t="s">
        <v>70</v>
      </c>
      <c r="T34" s="26" t="s">
        <v>284</v>
      </c>
      <c r="U34" s="26">
        <v>3112581902</v>
      </c>
      <c r="V34" s="30" t="s">
        <v>285</v>
      </c>
      <c r="W34">
        <f t="shared" si="2"/>
        <v>30</v>
      </c>
      <c r="X34">
        <f t="shared" si="0"/>
        <v>7</v>
      </c>
      <c r="Y34">
        <f t="shared" si="1"/>
        <v>2026</v>
      </c>
      <c r="Z34" t="str">
        <f t="shared" si="3"/>
        <v>30-2026</v>
      </c>
      <c r="AB34" t="s">
        <v>286</v>
      </c>
    </row>
    <row r="35" spans="1:29" ht="18.95" customHeight="1">
      <c r="A35" s="26">
        <v>3671208</v>
      </c>
      <c r="B35" s="26" t="s">
        <v>287</v>
      </c>
      <c r="C35" s="26" t="s">
        <v>288</v>
      </c>
      <c r="D35" s="26" t="s">
        <v>289</v>
      </c>
      <c r="E35" s="26" t="s">
        <v>289</v>
      </c>
      <c r="F35" s="26" t="s">
        <v>290</v>
      </c>
      <c r="G35" s="26">
        <v>2026</v>
      </c>
      <c r="H35" s="26" t="s">
        <v>31</v>
      </c>
      <c r="I35" s="32" t="s">
        <v>32</v>
      </c>
      <c r="J35" s="35" t="s">
        <v>291</v>
      </c>
      <c r="K35" s="36"/>
      <c r="L35" s="33" t="s">
        <v>34</v>
      </c>
      <c r="M35" s="32" t="s">
        <v>35</v>
      </c>
      <c r="N35" s="26" t="s">
        <v>292</v>
      </c>
      <c r="O35" s="33"/>
      <c r="P35" s="30" t="s">
        <v>293</v>
      </c>
      <c r="Q35" s="26" t="s">
        <v>152</v>
      </c>
      <c r="R35" s="26" t="s">
        <v>100</v>
      </c>
      <c r="S35" s="26" t="s">
        <v>70</v>
      </c>
      <c r="T35" s="26">
        <v>3014398395</v>
      </c>
      <c r="U35" s="26" t="s">
        <v>294</v>
      </c>
      <c r="V35" s="26" t="s">
        <v>295</v>
      </c>
      <c r="W35">
        <f t="shared" ref="W35:W69" si="4">WEEKNUM(E35)</f>
        <v>30</v>
      </c>
      <c r="X35">
        <f t="shared" ref="X35:X69" si="5">MONTH(E35)</f>
        <v>7</v>
      </c>
      <c r="Y35">
        <f t="shared" ref="Y35:Y69" si="6">YEAR(E35)</f>
        <v>2026</v>
      </c>
      <c r="Z35" t="str">
        <f t="shared" ref="Z35:Z69" si="7">_xlfn.CONCAT(W35,"-",Y35)</f>
        <v>30-2026</v>
      </c>
      <c r="AB35" t="s">
        <v>296</v>
      </c>
    </row>
    <row r="36" spans="1:29" ht="18.95" customHeight="1">
      <c r="A36" s="26">
        <v>3671222</v>
      </c>
      <c r="B36" s="26" t="s">
        <v>287</v>
      </c>
      <c r="C36" s="26" t="s">
        <v>288</v>
      </c>
      <c r="D36" s="26" t="s">
        <v>289</v>
      </c>
      <c r="E36" s="26" t="s">
        <v>289</v>
      </c>
      <c r="F36" s="26" t="s">
        <v>297</v>
      </c>
      <c r="G36" s="26">
        <v>2026</v>
      </c>
      <c r="H36" s="26" t="s">
        <v>31</v>
      </c>
      <c r="I36" s="32" t="s">
        <v>32</v>
      </c>
      <c r="J36" s="35" t="s">
        <v>82</v>
      </c>
      <c r="K36" s="36"/>
      <c r="L36" s="33" t="s">
        <v>34</v>
      </c>
      <c r="M36" s="32" t="s">
        <v>35</v>
      </c>
      <c r="N36" s="26" t="s">
        <v>298</v>
      </c>
      <c r="O36" s="33"/>
      <c r="P36" s="30" t="s">
        <v>299</v>
      </c>
      <c r="Q36" s="26" t="s">
        <v>38</v>
      </c>
      <c r="R36" s="26" t="s">
        <v>39</v>
      </c>
      <c r="S36" s="26" t="s">
        <v>120</v>
      </c>
      <c r="T36" s="26">
        <v>3004550101</v>
      </c>
      <c r="U36" s="26" t="s">
        <v>294</v>
      </c>
      <c r="V36" s="26" t="s">
        <v>300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</row>
    <row r="37" spans="1:29" ht="18.95" customHeight="1">
      <c r="A37" s="26">
        <v>3671223</v>
      </c>
      <c r="B37" s="26" t="s">
        <v>287</v>
      </c>
      <c r="C37" s="26" t="s">
        <v>288</v>
      </c>
      <c r="D37" s="26" t="s">
        <v>289</v>
      </c>
      <c r="E37" s="26" t="s">
        <v>289</v>
      </c>
      <c r="F37" s="26" t="s">
        <v>301</v>
      </c>
      <c r="G37" s="26">
        <v>2026</v>
      </c>
      <c r="H37" s="26" t="s">
        <v>31</v>
      </c>
      <c r="I37" s="32" t="s">
        <v>32</v>
      </c>
      <c r="J37" s="35" t="s">
        <v>302</v>
      </c>
      <c r="K37" s="36"/>
      <c r="L37" s="33" t="s">
        <v>34</v>
      </c>
      <c r="M37" s="32" t="s">
        <v>35</v>
      </c>
      <c r="N37" s="26" t="s">
        <v>303</v>
      </c>
      <c r="O37" s="33"/>
      <c r="P37" s="30" t="s">
        <v>304</v>
      </c>
      <c r="Q37" s="26" t="s">
        <v>38</v>
      </c>
      <c r="R37" s="26" t="s">
        <v>100</v>
      </c>
      <c r="S37" s="26" t="s">
        <v>40</v>
      </c>
      <c r="T37" s="26">
        <v>3146011459</v>
      </c>
      <c r="U37" s="26" t="s">
        <v>294</v>
      </c>
      <c r="V37" s="26" t="s">
        <v>305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B37" t="s">
        <v>306</v>
      </c>
    </row>
    <row r="38" spans="1:29" ht="18.95" customHeight="1">
      <c r="A38" s="26">
        <v>3671230</v>
      </c>
      <c r="B38" s="26" t="s">
        <v>287</v>
      </c>
      <c r="C38" s="26" t="s">
        <v>288</v>
      </c>
      <c r="D38" s="26" t="s">
        <v>289</v>
      </c>
      <c r="E38" s="26" t="s">
        <v>289</v>
      </c>
      <c r="F38" s="26" t="s">
        <v>307</v>
      </c>
      <c r="G38" s="26">
        <v>2026</v>
      </c>
      <c r="H38" s="26" t="s">
        <v>31</v>
      </c>
      <c r="I38" s="32" t="s">
        <v>32</v>
      </c>
      <c r="J38" s="35" t="s">
        <v>308</v>
      </c>
      <c r="K38" s="36"/>
      <c r="L38" s="33" t="s">
        <v>34</v>
      </c>
      <c r="M38" s="32" t="s">
        <v>35</v>
      </c>
      <c r="N38" s="26" t="s">
        <v>309</v>
      </c>
      <c r="O38" s="33"/>
      <c r="P38" s="30" t="s">
        <v>310</v>
      </c>
      <c r="Q38" s="26" t="s">
        <v>152</v>
      </c>
      <c r="R38" s="26" t="s">
        <v>39</v>
      </c>
      <c r="S38" s="26" t="s">
        <v>70</v>
      </c>
      <c r="T38" s="26" t="s">
        <v>311</v>
      </c>
      <c r="U38" s="26" t="s">
        <v>294</v>
      </c>
      <c r="V38" s="26" t="s">
        <v>312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B38" t="s">
        <v>313</v>
      </c>
    </row>
    <row r="39" spans="1:29" ht="18.95" customHeight="1">
      <c r="A39" s="26">
        <v>3671239</v>
      </c>
      <c r="B39" s="26" t="s">
        <v>228</v>
      </c>
      <c r="C39" s="26" t="s">
        <v>228</v>
      </c>
      <c r="D39" s="26" t="s">
        <v>289</v>
      </c>
      <c r="E39" s="26" t="s">
        <v>289</v>
      </c>
      <c r="F39" s="26" t="s">
        <v>314</v>
      </c>
      <c r="G39" s="26">
        <v>2026</v>
      </c>
      <c r="H39" s="26" t="s">
        <v>31</v>
      </c>
      <c r="I39" s="32" t="s">
        <v>32</v>
      </c>
      <c r="J39" s="35" t="s">
        <v>315</v>
      </c>
      <c r="K39" s="36"/>
      <c r="L39" s="33" t="s">
        <v>34</v>
      </c>
      <c r="M39" s="32" t="s">
        <v>35</v>
      </c>
      <c r="N39" s="26" t="s">
        <v>316</v>
      </c>
      <c r="O39" s="33"/>
      <c r="P39" s="26" t="s">
        <v>317</v>
      </c>
      <c r="Q39" s="26" t="s">
        <v>152</v>
      </c>
      <c r="R39" s="26" t="s">
        <v>100</v>
      </c>
      <c r="S39" s="26" t="s">
        <v>70</v>
      </c>
      <c r="T39" s="26">
        <v>3124174552</v>
      </c>
      <c r="U39" s="26">
        <v>3124174552</v>
      </c>
      <c r="V39" s="26" t="s">
        <v>318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</row>
    <row r="40" spans="1:29" ht="18.95" customHeight="1">
      <c r="A40" s="26">
        <v>3671241</v>
      </c>
      <c r="B40" s="26" t="s">
        <v>228</v>
      </c>
      <c r="C40" s="26" t="s">
        <v>228</v>
      </c>
      <c r="D40" s="26" t="s">
        <v>289</v>
      </c>
      <c r="E40" s="26" t="s">
        <v>289</v>
      </c>
      <c r="F40" s="26" t="s">
        <v>319</v>
      </c>
      <c r="G40" s="26">
        <v>2026</v>
      </c>
      <c r="H40" s="26" t="s">
        <v>31</v>
      </c>
      <c r="I40" s="32" t="s">
        <v>32</v>
      </c>
      <c r="J40" s="35" t="s">
        <v>320</v>
      </c>
      <c r="K40" s="36"/>
      <c r="L40" s="33" t="s">
        <v>34</v>
      </c>
      <c r="M40" s="32" t="s">
        <v>35</v>
      </c>
      <c r="N40" s="26" t="s">
        <v>321</v>
      </c>
      <c r="O40" s="33"/>
      <c r="P40" s="26" t="s">
        <v>322</v>
      </c>
      <c r="Q40" s="26" t="s">
        <v>152</v>
      </c>
      <c r="R40" s="26" t="s">
        <v>100</v>
      </c>
      <c r="S40" s="26" t="s">
        <v>70</v>
      </c>
      <c r="T40" s="26">
        <v>3151587722</v>
      </c>
      <c r="U40" s="26">
        <v>3114408944</v>
      </c>
      <c r="V40" s="26" t="s">
        <v>323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</row>
    <row r="41" spans="1:29" ht="18.95" customHeight="1">
      <c r="A41" s="26">
        <v>3671242</v>
      </c>
      <c r="B41" s="26" t="s">
        <v>228</v>
      </c>
      <c r="C41" s="26" t="s">
        <v>228</v>
      </c>
      <c r="D41" s="26" t="s">
        <v>289</v>
      </c>
      <c r="E41" s="26" t="s">
        <v>289</v>
      </c>
      <c r="F41" s="26" t="s">
        <v>324</v>
      </c>
      <c r="G41" s="26">
        <v>2026</v>
      </c>
      <c r="H41" s="26" t="s">
        <v>31</v>
      </c>
      <c r="I41" s="32" t="s">
        <v>32</v>
      </c>
      <c r="J41" s="35" t="s">
        <v>325</v>
      </c>
      <c r="K41" s="36"/>
      <c r="L41" s="33" t="s">
        <v>34</v>
      </c>
      <c r="M41" s="32" t="s">
        <v>35</v>
      </c>
      <c r="N41" s="26" t="s">
        <v>326</v>
      </c>
      <c r="O41" s="33"/>
      <c r="P41" s="26" t="s">
        <v>327</v>
      </c>
      <c r="Q41" s="26" t="s">
        <v>38</v>
      </c>
      <c r="R41" s="26" t="s">
        <v>100</v>
      </c>
      <c r="S41" s="26" t="s">
        <v>70</v>
      </c>
      <c r="T41" s="26">
        <v>3123849628</v>
      </c>
      <c r="U41" s="26">
        <v>3213048268</v>
      </c>
      <c r="V41" s="26" t="s">
        <v>328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</row>
    <row r="42" spans="1:29" ht="18.95" customHeight="1">
      <c r="A42" s="26">
        <v>3671243</v>
      </c>
      <c r="B42" s="26" t="s">
        <v>228</v>
      </c>
      <c r="C42" s="26" t="s">
        <v>228</v>
      </c>
      <c r="D42" s="26" t="s">
        <v>289</v>
      </c>
      <c r="E42" s="26" t="s">
        <v>289</v>
      </c>
      <c r="F42" s="26" t="s">
        <v>329</v>
      </c>
      <c r="G42" s="26">
        <v>2026</v>
      </c>
      <c r="H42" s="26" t="s">
        <v>31</v>
      </c>
      <c r="I42" s="32" t="s">
        <v>32</v>
      </c>
      <c r="J42" s="35" t="s">
        <v>330</v>
      </c>
      <c r="K42" s="36"/>
      <c r="L42" s="33" t="s">
        <v>34</v>
      </c>
      <c r="M42" s="32" t="s">
        <v>35</v>
      </c>
      <c r="N42" s="26" t="s">
        <v>331</v>
      </c>
      <c r="O42" s="33"/>
      <c r="P42" s="26" t="s">
        <v>332</v>
      </c>
      <c r="Q42" s="26" t="s">
        <v>152</v>
      </c>
      <c r="R42" s="26" t="s">
        <v>100</v>
      </c>
      <c r="S42" s="26" t="s">
        <v>40</v>
      </c>
      <c r="T42" s="26">
        <v>3144802665</v>
      </c>
      <c r="U42" s="26">
        <v>3144802665</v>
      </c>
      <c r="V42" s="26" t="s">
        <v>333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</row>
    <row r="43" spans="1:29" ht="18.95" customHeight="1">
      <c r="A43" s="26">
        <v>3671245</v>
      </c>
      <c r="B43" s="26" t="s">
        <v>228</v>
      </c>
      <c r="C43" s="26" t="s">
        <v>228</v>
      </c>
      <c r="D43" s="26" t="s">
        <v>289</v>
      </c>
      <c r="E43" s="26" t="s">
        <v>289</v>
      </c>
      <c r="F43" s="26" t="s">
        <v>334</v>
      </c>
      <c r="G43" s="26">
        <v>2026</v>
      </c>
      <c r="H43" s="26" t="s">
        <v>31</v>
      </c>
      <c r="I43" s="32" t="s">
        <v>32</v>
      </c>
      <c r="J43" s="35" t="s">
        <v>335</v>
      </c>
      <c r="K43" s="36"/>
      <c r="L43" s="33" t="s">
        <v>34</v>
      </c>
      <c r="M43" s="32" t="s">
        <v>35</v>
      </c>
      <c r="N43" s="26" t="s">
        <v>336</v>
      </c>
      <c r="O43" s="33"/>
      <c r="P43" s="26" t="s">
        <v>337</v>
      </c>
      <c r="Q43" s="26" t="s">
        <v>69</v>
      </c>
      <c r="R43" s="26" t="s">
        <v>100</v>
      </c>
      <c r="S43" s="26" t="s">
        <v>40</v>
      </c>
      <c r="T43" s="26">
        <v>3168329200</v>
      </c>
      <c r="U43" s="26">
        <v>3168329200</v>
      </c>
      <c r="V43" s="26" t="s">
        <v>338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</row>
    <row r="44" spans="1:29" ht="18.95" customHeight="1">
      <c r="A44" s="26">
        <v>3671253</v>
      </c>
      <c r="B44" s="26" t="s">
        <v>228</v>
      </c>
      <c r="C44" s="26" t="s">
        <v>228</v>
      </c>
      <c r="D44" s="26" t="s">
        <v>289</v>
      </c>
      <c r="E44" s="26" t="s">
        <v>289</v>
      </c>
      <c r="F44" s="26" t="s">
        <v>339</v>
      </c>
      <c r="G44" s="26">
        <v>2026</v>
      </c>
      <c r="H44" s="26" t="s">
        <v>31</v>
      </c>
      <c r="I44" s="32" t="s">
        <v>32</v>
      </c>
      <c r="J44" s="35" t="s">
        <v>340</v>
      </c>
      <c r="K44" s="36"/>
      <c r="L44" s="33" t="s">
        <v>34</v>
      </c>
      <c r="M44" s="32" t="s">
        <v>35</v>
      </c>
      <c r="N44" s="26" t="s">
        <v>341</v>
      </c>
      <c r="O44" s="33"/>
      <c r="P44" s="26" t="s">
        <v>342</v>
      </c>
      <c r="Q44" s="26" t="s">
        <v>152</v>
      </c>
      <c r="R44" s="26" t="s">
        <v>100</v>
      </c>
      <c r="S44" s="26" t="s">
        <v>40</v>
      </c>
      <c r="T44" s="26">
        <v>3105726862</v>
      </c>
      <c r="U44" s="26">
        <v>3105726862</v>
      </c>
      <c r="V44" s="26" t="s">
        <v>343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</row>
    <row r="45" spans="1:29" ht="18.95" customHeight="1">
      <c r="A45" s="26">
        <v>3676125</v>
      </c>
      <c r="B45" s="26" t="s">
        <v>344</v>
      </c>
      <c r="C45" s="26" t="s">
        <v>345</v>
      </c>
      <c r="D45" s="26" t="s">
        <v>346</v>
      </c>
      <c r="E45" s="26" t="s">
        <v>346</v>
      </c>
      <c r="F45" s="26" t="s">
        <v>347</v>
      </c>
      <c r="G45" s="26">
        <v>2026</v>
      </c>
      <c r="H45" s="26" t="s">
        <v>31</v>
      </c>
      <c r="I45" s="32" t="s">
        <v>32</v>
      </c>
      <c r="J45" s="35" t="s">
        <v>348</v>
      </c>
      <c r="K45" s="36"/>
      <c r="L45" s="33" t="s">
        <v>49</v>
      </c>
      <c r="M45" s="32" t="s">
        <v>50</v>
      </c>
      <c r="N45" s="26" t="s">
        <v>349</v>
      </c>
      <c r="O45" s="33"/>
      <c r="P45" s="26" t="s">
        <v>350</v>
      </c>
      <c r="Q45" s="26" t="s">
        <v>152</v>
      </c>
      <c r="R45" s="26" t="s">
        <v>100</v>
      </c>
      <c r="S45" s="26" t="s">
        <v>70</v>
      </c>
      <c r="T45" s="26">
        <v>3160181684</v>
      </c>
      <c r="U45" s="26" t="s">
        <v>351</v>
      </c>
      <c r="V45" s="26" t="s">
        <v>352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</row>
    <row r="46" spans="1:29" ht="18.95" customHeight="1">
      <c r="A46" s="26">
        <v>3676210</v>
      </c>
      <c r="B46" s="26" t="s">
        <v>353</v>
      </c>
      <c r="C46" s="26" t="s">
        <v>354</v>
      </c>
      <c r="D46" s="26" t="s">
        <v>346</v>
      </c>
      <c r="E46" s="26" t="s">
        <v>346</v>
      </c>
      <c r="F46" s="26" t="s">
        <v>355</v>
      </c>
      <c r="G46" s="26">
        <v>2026</v>
      </c>
      <c r="H46" s="26" t="s">
        <v>31</v>
      </c>
      <c r="I46" s="32" t="s">
        <v>32</v>
      </c>
      <c r="J46" s="35" t="s">
        <v>356</v>
      </c>
      <c r="K46" s="36"/>
      <c r="L46" s="33" t="s">
        <v>34</v>
      </c>
      <c r="M46" s="32" t="s">
        <v>35</v>
      </c>
      <c r="N46" s="26" t="s">
        <v>357</v>
      </c>
      <c r="O46" s="33"/>
      <c r="P46" s="26" t="s">
        <v>358</v>
      </c>
      <c r="Q46" s="26" t="s">
        <v>38</v>
      </c>
      <c r="R46" s="26" t="s">
        <v>100</v>
      </c>
      <c r="S46" s="26" t="s">
        <v>40</v>
      </c>
      <c r="T46" s="26" t="s">
        <v>359</v>
      </c>
      <c r="U46" s="26" t="s">
        <v>360</v>
      </c>
      <c r="V46" s="26" t="s">
        <v>361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</row>
    <row r="47" spans="1:29" ht="18.95" customHeight="1">
      <c r="A47" s="26">
        <v>3676236</v>
      </c>
      <c r="B47" s="26" t="s">
        <v>362</v>
      </c>
      <c r="C47" s="26" t="s">
        <v>363</v>
      </c>
      <c r="D47" s="26" t="s">
        <v>346</v>
      </c>
      <c r="E47" s="26" t="s">
        <v>346</v>
      </c>
      <c r="F47" s="26" t="s">
        <v>364</v>
      </c>
      <c r="G47" s="26">
        <v>2026</v>
      </c>
      <c r="H47" s="26" t="s">
        <v>31</v>
      </c>
      <c r="I47" s="32" t="s">
        <v>32</v>
      </c>
      <c r="J47" s="35" t="s">
        <v>365</v>
      </c>
      <c r="K47" s="36"/>
      <c r="L47" s="33" t="s">
        <v>34</v>
      </c>
      <c r="M47" s="32" t="s">
        <v>35</v>
      </c>
      <c r="N47" s="26" t="s">
        <v>366</v>
      </c>
      <c r="O47" s="33"/>
      <c r="P47" s="26" t="s">
        <v>367</v>
      </c>
      <c r="Q47" s="26" t="s">
        <v>152</v>
      </c>
      <c r="R47" s="26" t="s">
        <v>100</v>
      </c>
      <c r="S47" s="26" t="s">
        <v>40</v>
      </c>
      <c r="T47" s="26">
        <v>3102267246</v>
      </c>
      <c r="U47" s="26" t="s">
        <v>131</v>
      </c>
      <c r="V47" s="26" t="s">
        <v>368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</row>
    <row r="48" spans="1:29" ht="18.95" customHeight="1">
      <c r="A48" s="26">
        <v>3676247</v>
      </c>
      <c r="B48" s="26" t="s">
        <v>45</v>
      </c>
      <c r="C48" s="26" t="s">
        <v>46</v>
      </c>
      <c r="D48" s="26" t="s">
        <v>346</v>
      </c>
      <c r="E48" s="26" t="s">
        <v>346</v>
      </c>
      <c r="F48" s="26" t="s">
        <v>369</v>
      </c>
      <c r="G48" s="26">
        <v>2026</v>
      </c>
      <c r="H48" s="26" t="s">
        <v>31</v>
      </c>
      <c r="I48" s="32" t="s">
        <v>32</v>
      </c>
      <c r="J48" s="35" t="s">
        <v>370</v>
      </c>
      <c r="K48" s="36"/>
      <c r="L48" s="33" t="s">
        <v>49</v>
      </c>
      <c r="M48" s="32" t="s">
        <v>50</v>
      </c>
      <c r="N48" s="26" t="s">
        <v>371</v>
      </c>
      <c r="O48" s="33"/>
      <c r="P48" s="26" t="s">
        <v>372</v>
      </c>
      <c r="Q48" s="26" t="s">
        <v>38</v>
      </c>
      <c r="R48" s="26" t="s">
        <v>39</v>
      </c>
      <c r="S48" s="26" t="s">
        <v>120</v>
      </c>
      <c r="T48" s="26">
        <v>3209500506</v>
      </c>
      <c r="U48" s="26" t="s">
        <v>373</v>
      </c>
      <c r="V48" s="26" t="s">
        <v>374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</row>
    <row r="49" spans="1:28" ht="18.95" customHeight="1">
      <c r="A49" s="26">
        <v>3676328</v>
      </c>
      <c r="B49" s="26" t="s">
        <v>375</v>
      </c>
      <c r="C49" s="26" t="s">
        <v>376</v>
      </c>
      <c r="D49" s="26" t="s">
        <v>346</v>
      </c>
      <c r="E49" s="26" t="s">
        <v>346</v>
      </c>
      <c r="F49" s="26" t="s">
        <v>377</v>
      </c>
      <c r="G49" s="26">
        <v>2026</v>
      </c>
      <c r="H49" s="26" t="s">
        <v>31</v>
      </c>
      <c r="I49" s="32" t="s">
        <v>32</v>
      </c>
      <c r="J49" s="35" t="s">
        <v>378</v>
      </c>
      <c r="K49" s="36"/>
      <c r="L49" s="33" t="s">
        <v>49</v>
      </c>
      <c r="M49" s="32" t="s">
        <v>50</v>
      </c>
      <c r="N49" s="26" t="s">
        <v>379</v>
      </c>
      <c r="O49" s="33"/>
      <c r="P49" s="26" t="s">
        <v>380</v>
      </c>
      <c r="Q49" s="26" t="s">
        <v>69</v>
      </c>
      <c r="R49" s="26" t="s">
        <v>100</v>
      </c>
      <c r="S49" s="26" t="s">
        <v>101</v>
      </c>
      <c r="T49" s="26" t="s">
        <v>381</v>
      </c>
      <c r="U49" s="26" t="s">
        <v>382</v>
      </c>
      <c r="V49" s="26" t="s">
        <v>383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</row>
    <row r="50" spans="1:28" ht="18.95" customHeight="1">
      <c r="A50" s="26">
        <v>3676345</v>
      </c>
      <c r="B50" s="26" t="s">
        <v>375</v>
      </c>
      <c r="C50" s="26" t="s">
        <v>376</v>
      </c>
      <c r="D50" s="26" t="s">
        <v>346</v>
      </c>
      <c r="E50" s="26" t="s">
        <v>346</v>
      </c>
      <c r="F50" s="26" t="s">
        <v>384</v>
      </c>
      <c r="G50" s="26">
        <v>2026</v>
      </c>
      <c r="H50" s="26" t="s">
        <v>31</v>
      </c>
      <c r="I50" s="32" t="s">
        <v>32</v>
      </c>
      <c r="J50" s="35" t="s">
        <v>385</v>
      </c>
      <c r="K50" s="36"/>
      <c r="L50" s="33" t="s">
        <v>49</v>
      </c>
      <c r="M50" s="32" t="s">
        <v>50</v>
      </c>
      <c r="N50" s="26" t="s">
        <v>386</v>
      </c>
      <c r="O50" s="33"/>
      <c r="P50" s="26" t="s">
        <v>387</v>
      </c>
      <c r="Q50" s="26" t="s">
        <v>38</v>
      </c>
      <c r="R50" s="26" t="s">
        <v>39</v>
      </c>
      <c r="S50" s="26" t="s">
        <v>70</v>
      </c>
      <c r="T50" s="26" t="s">
        <v>388</v>
      </c>
      <c r="U50" s="26" t="s">
        <v>389</v>
      </c>
      <c r="V50" s="26" t="s">
        <v>390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</row>
    <row r="51" spans="1:28" ht="18.95" customHeight="1">
      <c r="A51" s="26">
        <v>3676323</v>
      </c>
      <c r="B51" s="26" t="s">
        <v>344</v>
      </c>
      <c r="C51" s="26" t="s">
        <v>345</v>
      </c>
      <c r="D51" s="26" t="s">
        <v>346</v>
      </c>
      <c r="E51" s="26" t="s">
        <v>346</v>
      </c>
      <c r="F51" s="26" t="s">
        <v>391</v>
      </c>
      <c r="G51" s="26">
        <v>2026</v>
      </c>
      <c r="H51" s="26" t="s">
        <v>31</v>
      </c>
      <c r="I51" s="32" t="s">
        <v>32</v>
      </c>
      <c r="J51" s="35" t="s">
        <v>392</v>
      </c>
      <c r="K51" s="36"/>
      <c r="L51" s="33" t="s">
        <v>49</v>
      </c>
      <c r="M51" s="32" t="s">
        <v>50</v>
      </c>
      <c r="N51" s="26" t="s">
        <v>393</v>
      </c>
      <c r="O51" s="33"/>
      <c r="P51" s="26" t="s">
        <v>394</v>
      </c>
      <c r="Q51" s="26" t="s">
        <v>38</v>
      </c>
      <c r="R51" s="26" t="s">
        <v>39</v>
      </c>
      <c r="S51" s="26" t="s">
        <v>40</v>
      </c>
      <c r="T51" s="26" t="s">
        <v>395</v>
      </c>
      <c r="U51" s="26" t="s">
        <v>396</v>
      </c>
      <c r="V51" s="26" t="s">
        <v>397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</row>
    <row r="52" spans="1:28" ht="18.95" customHeight="1">
      <c r="A52" s="26">
        <v>3679961</v>
      </c>
      <c r="B52" s="26" t="s">
        <v>398</v>
      </c>
      <c r="C52" s="26"/>
      <c r="D52" s="26" t="s">
        <v>399</v>
      </c>
      <c r="E52" s="26" t="s">
        <v>399</v>
      </c>
      <c r="F52" s="26" t="s">
        <v>400</v>
      </c>
      <c r="G52" s="26">
        <v>2026</v>
      </c>
      <c r="H52" s="26" t="s">
        <v>31</v>
      </c>
      <c r="I52" s="32" t="s">
        <v>32</v>
      </c>
      <c r="J52" s="35" t="s">
        <v>401</v>
      </c>
      <c r="K52" s="36"/>
      <c r="L52" s="33" t="s">
        <v>34</v>
      </c>
      <c r="M52" s="32" t="s">
        <v>35</v>
      </c>
      <c r="N52" s="36" t="s">
        <v>402</v>
      </c>
      <c r="O52" s="33" t="s">
        <v>403</v>
      </c>
      <c r="P52" s="30" t="s">
        <v>404</v>
      </c>
      <c r="Q52" s="26" t="s">
        <v>152</v>
      </c>
      <c r="R52" s="26" t="s">
        <v>39</v>
      </c>
      <c r="S52" s="26" t="s">
        <v>70</v>
      </c>
      <c r="T52" s="26">
        <v>3212818265</v>
      </c>
      <c r="U52" s="26">
        <v>3214550461</v>
      </c>
      <c r="V52" s="26" t="s">
        <v>405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</row>
    <row r="53" spans="1:28" ht="18.95" customHeight="1">
      <c r="A53" s="26">
        <v>3679980</v>
      </c>
      <c r="B53" s="26" t="s">
        <v>398</v>
      </c>
      <c r="C53" s="26"/>
      <c r="D53" s="26" t="s">
        <v>399</v>
      </c>
      <c r="E53" s="26" t="s">
        <v>399</v>
      </c>
      <c r="F53" s="26" t="s">
        <v>406</v>
      </c>
      <c r="G53" s="26">
        <v>2026</v>
      </c>
      <c r="H53" s="26" t="s">
        <v>31</v>
      </c>
      <c r="I53" s="32" t="s">
        <v>32</v>
      </c>
      <c r="J53" s="35" t="s">
        <v>407</v>
      </c>
      <c r="K53" s="36"/>
      <c r="L53" s="33" t="s">
        <v>34</v>
      </c>
      <c r="M53" s="32" t="s">
        <v>35</v>
      </c>
      <c r="N53" s="36" t="s">
        <v>408</v>
      </c>
      <c r="O53" s="33" t="s">
        <v>403</v>
      </c>
      <c r="P53" s="30" t="s">
        <v>409</v>
      </c>
      <c r="Q53" s="26" t="s">
        <v>69</v>
      </c>
      <c r="R53" s="26" t="s">
        <v>100</v>
      </c>
      <c r="S53" s="26" t="s">
        <v>410</v>
      </c>
      <c r="T53" s="26">
        <v>3144553626</v>
      </c>
      <c r="U53" s="26" t="s">
        <v>411</v>
      </c>
      <c r="V53" s="26" t="s">
        <v>412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</row>
    <row r="54" spans="1:28" ht="18.95" customHeight="1">
      <c r="A54" s="26">
        <v>3679984</v>
      </c>
      <c r="B54" s="26" t="s">
        <v>398</v>
      </c>
      <c r="C54" s="26"/>
      <c r="D54" s="26" t="s">
        <v>399</v>
      </c>
      <c r="E54" s="26" t="s">
        <v>399</v>
      </c>
      <c r="F54" s="26" t="s">
        <v>413</v>
      </c>
      <c r="G54" s="26">
        <v>2026</v>
      </c>
      <c r="H54" s="26" t="s">
        <v>31</v>
      </c>
      <c r="I54" s="32" t="s">
        <v>32</v>
      </c>
      <c r="J54" s="35" t="s">
        <v>414</v>
      </c>
      <c r="K54" s="36"/>
      <c r="L54" s="33" t="s">
        <v>34</v>
      </c>
      <c r="M54" s="32" t="s">
        <v>35</v>
      </c>
      <c r="N54" s="36" t="s">
        <v>415</v>
      </c>
      <c r="O54" s="33" t="s">
        <v>403</v>
      </c>
      <c r="P54" s="30" t="s">
        <v>416</v>
      </c>
      <c r="Q54" s="26" t="s">
        <v>69</v>
      </c>
      <c r="R54" s="26" t="s">
        <v>39</v>
      </c>
      <c r="S54" s="26" t="s">
        <v>410</v>
      </c>
      <c r="T54" s="26">
        <v>3118109385</v>
      </c>
      <c r="U54" s="26" t="s">
        <v>417</v>
      </c>
      <c r="V54" s="26" t="s">
        <v>418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</row>
    <row r="55" spans="1:28" ht="18.95" customHeight="1">
      <c r="A55" s="26">
        <v>3680011</v>
      </c>
      <c r="B55" s="26" t="s">
        <v>419</v>
      </c>
      <c r="C55" s="26" t="s">
        <v>420</v>
      </c>
      <c r="D55" s="26" t="s">
        <v>399</v>
      </c>
      <c r="E55" s="26" t="s">
        <v>399</v>
      </c>
      <c r="F55" s="26" t="s">
        <v>421</v>
      </c>
      <c r="G55" s="26">
        <v>2026</v>
      </c>
      <c r="H55" s="26" t="s">
        <v>31</v>
      </c>
      <c r="I55" s="32" t="s">
        <v>32</v>
      </c>
      <c r="J55" s="35" t="s">
        <v>422</v>
      </c>
      <c r="K55" s="36"/>
      <c r="L55" s="33" t="s">
        <v>34</v>
      </c>
      <c r="M55" s="32" t="s">
        <v>35</v>
      </c>
      <c r="N55" s="36"/>
      <c r="O55" s="33" t="s">
        <v>403</v>
      </c>
      <c r="P55" s="30" t="s">
        <v>423</v>
      </c>
      <c r="Q55" s="26" t="s">
        <v>38</v>
      </c>
      <c r="R55" s="26" t="s">
        <v>39</v>
      </c>
      <c r="S55" s="26" t="s">
        <v>40</v>
      </c>
      <c r="T55" s="26" t="s">
        <v>424</v>
      </c>
      <c r="U55" s="26" t="s">
        <v>425</v>
      </c>
      <c r="V55" s="26" t="s">
        <v>426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</row>
    <row r="56" spans="1:28" ht="18.95" customHeight="1">
      <c r="A56" s="26">
        <v>3680024</v>
      </c>
      <c r="B56" s="26" t="s">
        <v>105</v>
      </c>
      <c r="C56" s="26" t="s">
        <v>106</v>
      </c>
      <c r="D56" s="26" t="s">
        <v>399</v>
      </c>
      <c r="E56" s="26" t="s">
        <v>399</v>
      </c>
      <c r="F56" s="26" t="s">
        <v>427</v>
      </c>
      <c r="G56" s="26">
        <v>2026</v>
      </c>
      <c r="H56" s="26" t="s">
        <v>31</v>
      </c>
      <c r="I56" s="32" t="s">
        <v>32</v>
      </c>
      <c r="J56" s="35" t="s">
        <v>428</v>
      </c>
      <c r="K56" s="36"/>
      <c r="L56" s="33" t="s">
        <v>65</v>
      </c>
      <c r="M56" s="32" t="s">
        <v>66</v>
      </c>
      <c r="N56" s="36" t="s">
        <v>429</v>
      </c>
      <c r="O56" s="33" t="s">
        <v>430</v>
      </c>
      <c r="P56" s="30" t="s">
        <v>431</v>
      </c>
      <c r="Q56" s="26" t="s">
        <v>38</v>
      </c>
      <c r="R56" s="26" t="s">
        <v>100</v>
      </c>
      <c r="S56" s="26" t="s">
        <v>432</v>
      </c>
      <c r="T56" s="26">
        <v>3137456421</v>
      </c>
      <c r="U56" s="26" t="s">
        <v>256</v>
      </c>
      <c r="V56" s="26" t="s">
        <v>433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</row>
    <row r="57" spans="1:28" ht="18.95" customHeight="1">
      <c r="A57" s="26">
        <v>3680050</v>
      </c>
      <c r="B57" s="26" t="s">
        <v>419</v>
      </c>
      <c r="C57" s="26" t="s">
        <v>420</v>
      </c>
      <c r="D57" s="26" t="s">
        <v>399</v>
      </c>
      <c r="E57" s="26" t="s">
        <v>399</v>
      </c>
      <c r="F57" s="26" t="s">
        <v>434</v>
      </c>
      <c r="G57" s="26">
        <v>2026</v>
      </c>
      <c r="H57" s="26" t="s">
        <v>31</v>
      </c>
      <c r="I57" s="32" t="s">
        <v>32</v>
      </c>
      <c r="J57" s="35" t="s">
        <v>435</v>
      </c>
      <c r="K57" s="36"/>
      <c r="L57" s="33" t="s">
        <v>34</v>
      </c>
      <c r="M57" s="32" t="s">
        <v>35</v>
      </c>
      <c r="N57" s="36" t="s">
        <v>436</v>
      </c>
      <c r="O57" s="33" t="s">
        <v>403</v>
      </c>
      <c r="P57" s="30" t="s">
        <v>437</v>
      </c>
      <c r="Q57" s="26" t="s">
        <v>38</v>
      </c>
      <c r="R57" s="26" t="s">
        <v>39</v>
      </c>
      <c r="S57" s="26" t="s">
        <v>40</v>
      </c>
      <c r="T57" s="26">
        <v>3213475722</v>
      </c>
      <c r="U57" s="26">
        <v>3057995626</v>
      </c>
      <c r="V57" s="26" t="s">
        <v>438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B57" t="s">
        <v>439</v>
      </c>
    </row>
    <row r="58" spans="1:28" ht="18.95" customHeight="1">
      <c r="A58" s="26">
        <v>3680054</v>
      </c>
      <c r="B58" s="26" t="s">
        <v>419</v>
      </c>
      <c r="C58" s="26" t="s">
        <v>420</v>
      </c>
      <c r="D58" s="26" t="s">
        <v>399</v>
      </c>
      <c r="E58" s="26" t="s">
        <v>399</v>
      </c>
      <c r="F58" s="26" t="s">
        <v>440</v>
      </c>
      <c r="G58" s="26">
        <v>2026</v>
      </c>
      <c r="H58" s="26" t="s">
        <v>31</v>
      </c>
      <c r="I58" s="32" t="s">
        <v>32</v>
      </c>
      <c r="J58" s="35" t="s">
        <v>441</v>
      </c>
      <c r="K58" s="36"/>
      <c r="L58" s="33" t="s">
        <v>34</v>
      </c>
      <c r="M58" s="32" t="s">
        <v>35</v>
      </c>
      <c r="N58" s="36" t="s">
        <v>442</v>
      </c>
      <c r="O58" s="33" t="s">
        <v>403</v>
      </c>
      <c r="P58" s="30" t="s">
        <v>443</v>
      </c>
      <c r="Q58" s="26" t="s">
        <v>152</v>
      </c>
      <c r="R58" s="26" t="s">
        <v>39</v>
      </c>
      <c r="S58" s="26" t="s">
        <v>70</v>
      </c>
      <c r="T58" s="26">
        <v>3143704135</v>
      </c>
      <c r="U58" s="26" t="s">
        <v>444</v>
      </c>
      <c r="V58" s="26" t="s">
        <v>445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B58" t="s">
        <v>446</v>
      </c>
    </row>
    <row r="59" spans="1:28" ht="18.95" customHeight="1">
      <c r="A59" s="26">
        <v>3680055</v>
      </c>
      <c r="B59" s="26" t="s">
        <v>419</v>
      </c>
      <c r="C59" s="26" t="s">
        <v>420</v>
      </c>
      <c r="D59" s="26" t="s">
        <v>399</v>
      </c>
      <c r="E59" s="26" t="s">
        <v>399</v>
      </c>
      <c r="F59" s="26" t="s">
        <v>447</v>
      </c>
      <c r="G59" s="26">
        <v>2026</v>
      </c>
      <c r="H59" s="26" t="s">
        <v>31</v>
      </c>
      <c r="I59" s="32" t="s">
        <v>32</v>
      </c>
      <c r="J59" s="35" t="s">
        <v>448</v>
      </c>
      <c r="K59" s="36"/>
      <c r="L59" s="33" t="s">
        <v>34</v>
      </c>
      <c r="M59" s="32" t="s">
        <v>35</v>
      </c>
      <c r="N59" s="36" t="s">
        <v>449</v>
      </c>
      <c r="O59" s="33" t="s">
        <v>450</v>
      </c>
      <c r="P59" s="30" t="s">
        <v>451</v>
      </c>
      <c r="Q59" s="26" t="s">
        <v>152</v>
      </c>
      <c r="R59" s="26" t="s">
        <v>39</v>
      </c>
      <c r="S59" s="26" t="s">
        <v>70</v>
      </c>
      <c r="T59" s="26">
        <v>3154965337</v>
      </c>
      <c r="U59" s="26" t="s">
        <v>444</v>
      </c>
      <c r="V59" s="26" t="s">
        <v>452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B59" t="s">
        <v>453</v>
      </c>
    </row>
    <row r="60" spans="1:28" ht="18.95" customHeight="1">
      <c r="A60" s="26">
        <v>3679995</v>
      </c>
      <c r="B60" s="26" t="s">
        <v>398</v>
      </c>
      <c r="C60" s="26"/>
      <c r="D60" s="26" t="s">
        <v>399</v>
      </c>
      <c r="E60" s="26" t="s">
        <v>399</v>
      </c>
      <c r="F60" s="26" t="s">
        <v>454</v>
      </c>
      <c r="G60" s="26">
        <v>2026</v>
      </c>
      <c r="H60" s="26" t="s">
        <v>31</v>
      </c>
      <c r="I60" s="32" t="s">
        <v>32</v>
      </c>
      <c r="J60" s="35" t="s">
        <v>455</v>
      </c>
      <c r="K60" s="36"/>
      <c r="L60" s="33" t="s">
        <v>34</v>
      </c>
      <c r="M60" s="32" t="s">
        <v>35</v>
      </c>
      <c r="N60" s="36" t="s">
        <v>456</v>
      </c>
      <c r="O60" s="33" t="s">
        <v>403</v>
      </c>
      <c r="P60" s="30" t="s">
        <v>457</v>
      </c>
      <c r="Q60" s="26" t="s">
        <v>152</v>
      </c>
      <c r="R60" s="26" t="s">
        <v>39</v>
      </c>
      <c r="S60" s="26" t="s">
        <v>70</v>
      </c>
      <c r="T60" s="26">
        <v>3132969330</v>
      </c>
      <c r="U60" s="26" t="s">
        <v>458</v>
      </c>
      <c r="V60" s="26" t="s">
        <v>459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B60" t="s">
        <v>460</v>
      </c>
    </row>
    <row r="61" spans="1:28" ht="18.95" customHeight="1">
      <c r="A61" s="26">
        <v>3683298</v>
      </c>
      <c r="B61" s="26" t="s">
        <v>87</v>
      </c>
      <c r="C61" s="26" t="s">
        <v>88</v>
      </c>
      <c r="D61" s="26" t="s">
        <v>461</v>
      </c>
      <c r="E61" s="26" t="s">
        <v>461</v>
      </c>
      <c r="F61" s="26" t="s">
        <v>462</v>
      </c>
      <c r="G61" s="26">
        <v>2026</v>
      </c>
      <c r="H61" s="26" t="s">
        <v>31</v>
      </c>
      <c r="I61" s="32" t="s">
        <v>32</v>
      </c>
      <c r="J61" s="35" t="s">
        <v>463</v>
      </c>
      <c r="K61" s="36"/>
      <c r="L61" s="33" t="s">
        <v>65</v>
      </c>
      <c r="M61" s="32" t="s">
        <v>66</v>
      </c>
      <c r="N61" s="36" t="s">
        <v>464</v>
      </c>
      <c r="O61" s="33" t="s">
        <v>430</v>
      </c>
      <c r="P61" s="30" t="s">
        <v>465</v>
      </c>
      <c r="Q61" s="26" t="s">
        <v>69</v>
      </c>
      <c r="R61" s="26" t="s">
        <v>39</v>
      </c>
      <c r="S61" s="26" t="s">
        <v>59</v>
      </c>
      <c r="T61" s="26" t="s">
        <v>466</v>
      </c>
      <c r="U61" s="26" t="s">
        <v>467</v>
      </c>
      <c r="V61" s="26" t="s">
        <v>468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B61" t="s">
        <v>469</v>
      </c>
    </row>
    <row r="62" spans="1:28" ht="18.95" customHeight="1">
      <c r="A62" s="26">
        <v>3683348</v>
      </c>
      <c r="B62" s="26" t="s">
        <v>470</v>
      </c>
      <c r="C62" s="26" t="s">
        <v>471</v>
      </c>
      <c r="D62" s="26" t="s">
        <v>461</v>
      </c>
      <c r="E62" s="26" t="s">
        <v>461</v>
      </c>
      <c r="F62" s="26" t="s">
        <v>472</v>
      </c>
      <c r="G62" s="26">
        <v>2026</v>
      </c>
      <c r="H62" s="26" t="s">
        <v>31</v>
      </c>
      <c r="I62" s="32" t="s">
        <v>32</v>
      </c>
      <c r="J62" s="35" t="s">
        <v>473</v>
      </c>
      <c r="K62" s="36"/>
      <c r="L62" s="33" t="s">
        <v>34</v>
      </c>
      <c r="M62" s="32" t="s">
        <v>35</v>
      </c>
      <c r="N62" s="36" t="s">
        <v>474</v>
      </c>
      <c r="O62" s="33" t="s">
        <v>403</v>
      </c>
      <c r="P62" s="30" t="s">
        <v>475</v>
      </c>
      <c r="Q62" s="26" t="s">
        <v>69</v>
      </c>
      <c r="R62" s="26" t="s">
        <v>39</v>
      </c>
      <c r="S62" s="26" t="s">
        <v>410</v>
      </c>
      <c r="T62" s="26">
        <v>3214903514</v>
      </c>
      <c r="U62" s="26" t="s">
        <v>476</v>
      </c>
      <c r="V62" s="26" t="s">
        <v>477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B62" t="s">
        <v>478</v>
      </c>
    </row>
    <row r="63" spans="1:28" ht="18.95" customHeight="1">
      <c r="A63" s="26">
        <v>3683607</v>
      </c>
      <c r="B63" s="26" t="s">
        <v>228</v>
      </c>
      <c r="C63" s="26" t="s">
        <v>228</v>
      </c>
      <c r="D63" s="26" t="s">
        <v>461</v>
      </c>
      <c r="E63" s="26" t="s">
        <v>461</v>
      </c>
      <c r="F63" s="26" t="s">
        <v>479</v>
      </c>
      <c r="G63" s="26">
        <v>2026</v>
      </c>
      <c r="H63" s="26" t="s">
        <v>31</v>
      </c>
      <c r="I63" s="32" t="s">
        <v>32</v>
      </c>
      <c r="J63" s="35" t="s">
        <v>480</v>
      </c>
      <c r="K63" s="36"/>
      <c r="L63" s="33" t="s">
        <v>34</v>
      </c>
      <c r="M63" s="32" t="s">
        <v>35</v>
      </c>
      <c r="N63" s="36"/>
      <c r="O63" s="33" t="s">
        <v>450</v>
      </c>
      <c r="P63" s="30" t="s">
        <v>481</v>
      </c>
      <c r="Q63" s="26" t="s">
        <v>69</v>
      </c>
      <c r="R63" s="26" t="s">
        <v>39</v>
      </c>
      <c r="S63" s="26" t="s">
        <v>120</v>
      </c>
      <c r="T63" s="26">
        <v>3175022222</v>
      </c>
      <c r="U63" s="26">
        <v>3153522582</v>
      </c>
      <c r="V63" s="26" t="s">
        <v>482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</row>
    <row r="64" spans="1:28" ht="18.95" customHeight="1">
      <c r="A64" s="26">
        <v>3683610</v>
      </c>
      <c r="B64" s="26" t="s">
        <v>483</v>
      </c>
      <c r="C64" s="26" t="s">
        <v>484</v>
      </c>
      <c r="D64" s="26" t="s">
        <v>461</v>
      </c>
      <c r="E64" s="26" t="s">
        <v>461</v>
      </c>
      <c r="F64" s="26" t="s">
        <v>485</v>
      </c>
      <c r="G64" s="26">
        <v>2026</v>
      </c>
      <c r="H64" s="26" t="s">
        <v>31</v>
      </c>
      <c r="I64" s="32" t="s">
        <v>32</v>
      </c>
      <c r="J64" s="35" t="s">
        <v>486</v>
      </c>
      <c r="K64" s="36"/>
      <c r="L64" s="33" t="s">
        <v>34</v>
      </c>
      <c r="M64" s="32" t="s">
        <v>35</v>
      </c>
      <c r="N64" s="36" t="s">
        <v>487</v>
      </c>
      <c r="O64" s="33" t="s">
        <v>450</v>
      </c>
      <c r="P64" s="30" t="s">
        <v>488</v>
      </c>
      <c r="Q64" s="26" t="s">
        <v>38</v>
      </c>
      <c r="R64" s="26" t="s">
        <v>39</v>
      </c>
      <c r="S64" s="26" t="s">
        <v>40</v>
      </c>
      <c r="T64" s="26">
        <v>3186280302</v>
      </c>
      <c r="U64" s="26" t="s">
        <v>489</v>
      </c>
      <c r="V64" s="26" t="s">
        <v>490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B64" t="s">
        <v>491</v>
      </c>
    </row>
    <row r="65" spans="1:28" ht="18.95" customHeight="1">
      <c r="A65" s="26">
        <v>3683591</v>
      </c>
      <c r="B65" s="26" t="s">
        <v>45</v>
      </c>
      <c r="C65" s="26" t="s">
        <v>46</v>
      </c>
      <c r="D65" s="26" t="s">
        <v>461</v>
      </c>
      <c r="E65" s="26" t="s">
        <v>461</v>
      </c>
      <c r="F65" s="26" t="s">
        <v>492</v>
      </c>
      <c r="G65" s="26">
        <v>2026</v>
      </c>
      <c r="H65" s="26" t="s">
        <v>31</v>
      </c>
      <c r="I65" s="32" t="s">
        <v>32</v>
      </c>
      <c r="J65" s="35" t="s">
        <v>48</v>
      </c>
      <c r="K65" s="36"/>
      <c r="L65" s="33" t="s">
        <v>49</v>
      </c>
      <c r="M65" s="32" t="s">
        <v>50</v>
      </c>
      <c r="N65" s="36" t="s">
        <v>493</v>
      </c>
      <c r="O65" s="33" t="s">
        <v>494</v>
      </c>
      <c r="P65" s="26" t="s">
        <v>495</v>
      </c>
      <c r="Q65" s="26" t="s">
        <v>38</v>
      </c>
      <c r="R65" s="26" t="s">
        <v>39</v>
      </c>
      <c r="S65" s="26" t="s">
        <v>40</v>
      </c>
      <c r="T65" s="26">
        <v>3202129355</v>
      </c>
      <c r="U65" s="26">
        <v>3202129355</v>
      </c>
      <c r="V65" s="26" t="s">
        <v>496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B65" t="s">
        <v>497</v>
      </c>
    </row>
    <row r="66" spans="1:28" ht="18.95" customHeight="1">
      <c r="A66" s="26">
        <v>3683612</v>
      </c>
      <c r="B66" s="26" t="s">
        <v>228</v>
      </c>
      <c r="C66" s="26" t="s">
        <v>228</v>
      </c>
      <c r="D66" s="26" t="s">
        <v>461</v>
      </c>
      <c r="E66" s="26" t="s">
        <v>461</v>
      </c>
      <c r="F66" s="26" t="s">
        <v>498</v>
      </c>
      <c r="G66" s="26">
        <v>2026</v>
      </c>
      <c r="H66" s="26" t="s">
        <v>31</v>
      </c>
      <c r="I66" s="32" t="s">
        <v>32</v>
      </c>
      <c r="J66" s="35" t="s">
        <v>499</v>
      </c>
      <c r="K66" s="36"/>
      <c r="L66" s="33" t="s">
        <v>34</v>
      </c>
      <c r="M66" s="32" t="s">
        <v>35</v>
      </c>
      <c r="N66" s="36"/>
      <c r="O66" s="33" t="s">
        <v>450</v>
      </c>
      <c r="P66" s="30" t="s">
        <v>500</v>
      </c>
      <c r="Q66" s="26" t="s">
        <v>152</v>
      </c>
      <c r="R66" s="26" t="s">
        <v>39</v>
      </c>
      <c r="S66" s="26" t="s">
        <v>70</v>
      </c>
      <c r="T66" s="26">
        <v>3503394887</v>
      </c>
      <c r="U66" s="26">
        <v>3503394887</v>
      </c>
      <c r="V66" s="26" t="s">
        <v>501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</row>
    <row r="67" spans="1:28" ht="18.95" customHeight="1">
      <c r="A67" s="26">
        <v>3686736</v>
      </c>
      <c r="B67" s="26" t="s">
        <v>362</v>
      </c>
      <c r="C67" s="26" t="s">
        <v>363</v>
      </c>
      <c r="D67" s="26" t="s">
        <v>502</v>
      </c>
      <c r="E67" s="26" t="s">
        <v>502</v>
      </c>
      <c r="F67" s="26" t="s">
        <v>503</v>
      </c>
      <c r="G67" s="26">
        <v>2026</v>
      </c>
      <c r="H67" s="26" t="s">
        <v>31</v>
      </c>
      <c r="I67" s="32" t="s">
        <v>32</v>
      </c>
      <c r="J67" s="35" t="s">
        <v>504</v>
      </c>
      <c r="K67" s="36"/>
      <c r="L67" s="33" t="s">
        <v>34</v>
      </c>
      <c r="M67" s="32" t="s">
        <v>35</v>
      </c>
      <c r="N67" s="36" t="s">
        <v>505</v>
      </c>
      <c r="O67" s="33" t="s">
        <v>450</v>
      </c>
      <c r="P67" s="30" t="s">
        <v>506</v>
      </c>
      <c r="Q67" s="26" t="s">
        <v>38</v>
      </c>
      <c r="R67" s="26" t="s">
        <v>39</v>
      </c>
      <c r="S67" s="26" t="s">
        <v>40</v>
      </c>
      <c r="T67" s="26" t="s">
        <v>507</v>
      </c>
      <c r="U67" s="26" t="s">
        <v>294</v>
      </c>
      <c r="V67" s="26" t="s">
        <v>508</v>
      </c>
      <c r="W67">
        <f t="shared" si="4"/>
        <v>30</v>
      </c>
      <c r="X67">
        <f t="shared" si="5"/>
        <v>7</v>
      </c>
      <c r="Y67">
        <f t="shared" si="6"/>
        <v>2026</v>
      </c>
      <c r="Z67" t="str">
        <f t="shared" si="7"/>
        <v>30-2026</v>
      </c>
      <c r="AB67" t="s">
        <v>509</v>
      </c>
    </row>
    <row r="68" spans="1:28" ht="18.95" customHeight="1">
      <c r="A68" s="26">
        <v>3687074</v>
      </c>
      <c r="B68" s="26" t="s">
        <v>510</v>
      </c>
      <c r="C68" s="26" t="s">
        <v>511</v>
      </c>
      <c r="D68" s="26" t="s">
        <v>502</v>
      </c>
      <c r="E68" s="26" t="s">
        <v>502</v>
      </c>
      <c r="F68" s="26" t="s">
        <v>512</v>
      </c>
      <c r="G68" s="26">
        <v>2026</v>
      </c>
      <c r="H68" s="26" t="s">
        <v>31</v>
      </c>
      <c r="I68" s="32" t="s">
        <v>32</v>
      </c>
      <c r="J68" s="35" t="s">
        <v>513</v>
      </c>
      <c r="K68" s="36"/>
      <c r="L68" s="33" t="s">
        <v>65</v>
      </c>
      <c r="M68" s="32" t="s">
        <v>514</v>
      </c>
      <c r="N68" s="36"/>
      <c r="O68" s="33" t="s">
        <v>450</v>
      </c>
      <c r="P68" s="30" t="s">
        <v>515</v>
      </c>
      <c r="Q68" s="26" t="s">
        <v>38</v>
      </c>
      <c r="R68" s="26" t="s">
        <v>39</v>
      </c>
      <c r="S68" s="26" t="s">
        <v>40</v>
      </c>
      <c r="T68" s="26">
        <v>3133263867</v>
      </c>
      <c r="U68" s="26" t="s">
        <v>389</v>
      </c>
      <c r="V68" s="26" t="s">
        <v>516</v>
      </c>
      <c r="W68">
        <f t="shared" si="4"/>
        <v>30</v>
      </c>
      <c r="X68">
        <f t="shared" si="5"/>
        <v>7</v>
      </c>
      <c r="Y68">
        <f t="shared" si="6"/>
        <v>2026</v>
      </c>
      <c r="Z68" t="str">
        <f t="shared" si="7"/>
        <v>30-2026</v>
      </c>
    </row>
    <row r="69" spans="1:28" ht="18.95" customHeight="1">
      <c r="A69" s="26">
        <v>3687128</v>
      </c>
      <c r="B69" s="26" t="s">
        <v>470</v>
      </c>
      <c r="C69" s="26" t="s">
        <v>471</v>
      </c>
      <c r="D69" s="26" t="s">
        <v>502</v>
      </c>
      <c r="E69" s="26" t="s">
        <v>502</v>
      </c>
      <c r="F69" s="26" t="s">
        <v>517</v>
      </c>
      <c r="G69" s="26">
        <v>2026</v>
      </c>
      <c r="H69" s="26" t="s">
        <v>31</v>
      </c>
      <c r="I69" s="32" t="s">
        <v>32</v>
      </c>
      <c r="J69" s="35" t="s">
        <v>518</v>
      </c>
      <c r="K69" s="36"/>
      <c r="L69" s="33" t="s">
        <v>34</v>
      </c>
      <c r="M69" s="32" t="s">
        <v>35</v>
      </c>
      <c r="N69" s="36" t="s">
        <v>519</v>
      </c>
      <c r="O69" s="33" t="s">
        <v>403</v>
      </c>
      <c r="P69" s="30" t="s">
        <v>520</v>
      </c>
      <c r="Q69" s="26" t="s">
        <v>152</v>
      </c>
      <c r="R69" s="26" t="s">
        <v>100</v>
      </c>
      <c r="S69" s="26" t="s">
        <v>70</v>
      </c>
      <c r="T69" s="26" t="s">
        <v>521</v>
      </c>
      <c r="U69" s="26" t="s">
        <v>522</v>
      </c>
      <c r="V69" s="26" t="s">
        <v>523</v>
      </c>
      <c r="W69">
        <f t="shared" si="4"/>
        <v>30</v>
      </c>
      <c r="X69">
        <f t="shared" si="5"/>
        <v>7</v>
      </c>
      <c r="Y69">
        <f t="shared" si="6"/>
        <v>2026</v>
      </c>
      <c r="Z69" t="str">
        <f t="shared" si="7"/>
        <v>30-2026</v>
      </c>
      <c r="AB69" t="s">
        <v>524</v>
      </c>
    </row>
  </sheetData>
  <hyperlinks>
    <hyperlink ref="P6" r:id="rId1" xr:uid="{D42D7EF3-3D46-4E54-8C69-3FBA36D0709C}"/>
    <hyperlink ref="P7" r:id="rId2" xr:uid="{30746116-5705-4D4E-9BDA-784804282991}"/>
    <hyperlink ref="P8" r:id="rId3" xr:uid="{EEFDC895-F2FF-487F-8289-B50C094BEB17}"/>
    <hyperlink ref="P9" r:id="rId4" xr:uid="{4F03A30A-15C4-44D7-99B4-15C9F8AB6D1F}"/>
    <hyperlink ref="U9" r:id="rId5" xr:uid="{B6FBBEE1-F535-4141-A6EC-B010DE42326B}"/>
    <hyperlink ref="P10" r:id="rId6" xr:uid="{461AD067-2B3B-420C-A3D3-0BE4B50A4A56}"/>
    <hyperlink ref="P11" r:id="rId7" xr:uid="{E79601BB-DEBD-4DA8-BB71-18ACFD9B6815}"/>
    <hyperlink ref="P12" r:id="rId8" xr:uid="{7C77FB56-C3FD-4493-86AB-D20A41AA64B6}"/>
    <hyperlink ref="P13" r:id="rId9" xr:uid="{05505495-AED5-4336-9C1D-BADDC5E7BF19}"/>
    <hyperlink ref="P14" r:id="rId10" xr:uid="{FE167FE7-4190-484E-862C-743DEFF9E0FF}"/>
    <hyperlink ref="P15" r:id="rId11" xr:uid="{C1649F27-7A32-4364-9B70-7A805041FD53}"/>
    <hyperlink ref="P16" r:id="rId12" xr:uid="{9BBB34D6-131C-4C1A-8682-33A8E53836E6}"/>
    <hyperlink ref="P17" r:id="rId13" xr:uid="{14A93640-90B1-4A22-80DA-78943F577899}"/>
    <hyperlink ref="P18" r:id="rId14" xr:uid="{EB4CA6F7-4197-4BFA-80D0-C6C5EF313397}"/>
    <hyperlink ref="P19" r:id="rId15" xr:uid="{6E9EBDC5-7E23-4472-B11A-4E617E1F3D3C}"/>
    <hyperlink ref="P20" r:id="rId16" xr:uid="{64FDEBC3-1188-4947-8940-AB21C6137660}"/>
    <hyperlink ref="P22" r:id="rId17" xr:uid="{97B090AC-C2A3-45F8-94CE-B91E53D0599D}"/>
    <hyperlink ref="P34" r:id="rId18" xr:uid="{DEAA9084-E43D-4E28-87D7-BDA3CDF58BB7}"/>
    <hyperlink ref="V34" r:id="rId19" xr:uid="{3828DF41-962A-47B8-9618-198281FBDE1B}"/>
    <hyperlink ref="P33" r:id="rId20" xr:uid="{FFBEE314-6579-40D7-B30C-4CDB69244572}"/>
    <hyperlink ref="P23" r:id="rId21" xr:uid="{DEFCA8DA-7777-49DC-AF5F-F5F37E45F107}"/>
    <hyperlink ref="P4" r:id="rId22" xr:uid="{E52B63B1-4AC1-48D8-9D38-4A2DFD800D04}"/>
    <hyperlink ref="P21" r:id="rId23" xr:uid="{52940E86-CF48-4055-9254-6F98C5F9EA3D}"/>
    <hyperlink ref="P24" r:id="rId24" xr:uid="{F01C8CE3-DD63-4C78-931D-371FA93EB1F6}"/>
    <hyperlink ref="P25" r:id="rId25" xr:uid="{265AB82D-C694-476B-A2F5-2C08D3A2AB75}"/>
    <hyperlink ref="P26" r:id="rId26" xr:uid="{C86FBA5A-87F3-4928-8C15-50CF52C38DF0}"/>
    <hyperlink ref="P27" r:id="rId27" xr:uid="{A3A88DEC-735C-479C-92F9-25750C110E47}"/>
    <hyperlink ref="P28" r:id="rId28" xr:uid="{D3766897-01AB-4458-8600-AFDA41111112}"/>
    <hyperlink ref="P29" r:id="rId29" xr:uid="{7BC2A519-7AF6-4F5E-A7A7-17D174A81874}"/>
    <hyperlink ref="P30" r:id="rId30" xr:uid="{6D936714-4786-4AE4-B009-86D565842A39}"/>
    <hyperlink ref="P31" r:id="rId31" xr:uid="{80B86197-BA4D-4FC6-8E34-B7D6006B4DE7}"/>
    <hyperlink ref="P32" r:id="rId32" xr:uid="{DEE0B57C-80AC-4535-A1A8-F233559319A6}"/>
    <hyperlink ref="P52" r:id="rId33" xr:uid="{160EE43E-A79E-43F5-A3DB-AFE7CBE8F9DF}"/>
    <hyperlink ref="P35" r:id="rId34" xr:uid="{D4568CF8-1ECC-4993-97A7-F4F52ED32E9B}"/>
    <hyperlink ref="P36" r:id="rId35" xr:uid="{D5CF5314-78A4-4129-93E0-3B3154D9D695}"/>
    <hyperlink ref="P37" r:id="rId36" xr:uid="{FA6A3C2C-27A4-442B-9B6C-DAFEC3815695}"/>
    <hyperlink ref="P38" r:id="rId37" xr:uid="{73E9A42B-C0C0-46F3-91D2-A01C76449A90}"/>
    <hyperlink ref="P53" r:id="rId38" xr:uid="{E9E5A520-3029-45F9-8274-E2BB998E3117}"/>
    <hyperlink ref="P54" r:id="rId39" xr:uid="{85C91D85-B6BB-43D8-AFFE-3A7F9A76605A}"/>
    <hyperlink ref="P55" r:id="rId40" xr:uid="{20666010-067D-44D5-BDF6-2E793D0D34A5}"/>
    <hyperlink ref="P56" r:id="rId41" xr:uid="{BA48157E-E523-4843-BC81-AC64B26D23DF}"/>
    <hyperlink ref="P57" r:id="rId42" xr:uid="{576956EE-C10D-43C9-92AE-FFF737DB4010}"/>
    <hyperlink ref="P58" r:id="rId43" xr:uid="{0DB5A089-FE2D-49CC-B2B0-68ECA8203462}"/>
    <hyperlink ref="P59" r:id="rId44" xr:uid="{BA5D016C-C33F-4EDB-8D1C-0FD8054F3EA6}"/>
    <hyperlink ref="P60" r:id="rId45" xr:uid="{BB3FC060-AECF-460E-800C-6BB92B531F3B}"/>
    <hyperlink ref="P61" r:id="rId46" xr:uid="{FF25A481-7EAF-4D53-BDF8-CAA3C5AEB571}"/>
    <hyperlink ref="P62" r:id="rId47" xr:uid="{527FA487-434C-49D1-BA06-F36F893C183F}"/>
    <hyperlink ref="P63" r:id="rId48" xr:uid="{C7E41D1A-1C72-4559-BD67-8388F23F8F3E}"/>
    <hyperlink ref="P64" r:id="rId49" xr:uid="{D194A7C0-B46D-4639-93C9-FEB557B71939}"/>
    <hyperlink ref="P66" r:id="rId50" xr:uid="{73B4E233-D066-410C-B778-97D191F85A99}"/>
    <hyperlink ref="P67" r:id="rId51" xr:uid="{1504E186-D660-4437-822F-2A9F5B383F5B}"/>
    <hyperlink ref="P68" r:id="rId52" xr:uid="{9F9B6A71-F423-4CC9-AD8D-1F03B71A18D5}"/>
    <hyperlink ref="P69" r:id="rId53" xr:uid="{DE06D4F5-5F23-4DBF-A007-C8D00DF941B1}"/>
  </hyperlinks>
  <pageMargins left="0.75" right="0.75" top="1" bottom="1" header="0.5" footer="0.5"/>
  <headerFooter>
    <oddFooter>&amp;C_x000D_&amp;1#&amp;"Calibri"&amp;10&amp;K000000 OXXO | Uso Interno</oddFooter>
  </headerFooter>
  <extLs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27" t="s">
        <v>1</v>
      </c>
      <c r="B1" t="s">
        <v>525</v>
      </c>
    </row>
    <row r="3" spans="1:2">
      <c r="A3" s="27" t="s">
        <v>526</v>
      </c>
      <c r="B3" t="s">
        <v>527</v>
      </c>
    </row>
    <row r="4" spans="1:2">
      <c r="A4" s="28" t="s">
        <v>34</v>
      </c>
      <c r="B4">
        <v>24</v>
      </c>
    </row>
    <row r="5" spans="1:2">
      <c r="A5" s="28" t="s">
        <v>49</v>
      </c>
      <c r="B5">
        <v>1</v>
      </c>
    </row>
    <row r="6" spans="1:2">
      <c r="A6" s="28" t="s">
        <v>65</v>
      </c>
      <c r="B6">
        <v>6</v>
      </c>
    </row>
    <row r="7" spans="1:2">
      <c r="A7" s="28" t="s">
        <v>528</v>
      </c>
      <c r="B7">
        <v>31</v>
      </c>
    </row>
    <row r="22" spans="1:2">
      <c r="A22" t="s">
        <v>526</v>
      </c>
      <c r="B22" t="s">
        <v>527</v>
      </c>
    </row>
    <row r="23" spans="1:2">
      <c r="A23" t="s">
        <v>227</v>
      </c>
      <c r="B23">
        <v>1</v>
      </c>
    </row>
    <row r="24" spans="1:2">
      <c r="A24" t="s">
        <v>113</v>
      </c>
      <c r="B24">
        <v>1</v>
      </c>
    </row>
    <row r="25" spans="1:2">
      <c r="A25" t="s">
        <v>199</v>
      </c>
      <c r="B25">
        <v>1</v>
      </c>
    </row>
    <row r="26" spans="1:2">
      <c r="A26" t="s">
        <v>277</v>
      </c>
      <c r="B26">
        <v>1</v>
      </c>
    </row>
    <row r="27" spans="1:2">
      <c r="A27" t="s">
        <v>62</v>
      </c>
      <c r="B27">
        <v>1</v>
      </c>
    </row>
    <row r="28" spans="1:2">
      <c r="A28" t="s">
        <v>45</v>
      </c>
      <c r="B28">
        <v>1</v>
      </c>
    </row>
    <row r="29" spans="1:2">
      <c r="A29" t="s">
        <v>105</v>
      </c>
      <c r="B29">
        <v>2</v>
      </c>
    </row>
    <row r="30" spans="1:2">
      <c r="A30" t="s">
        <v>146</v>
      </c>
      <c r="B30">
        <v>2</v>
      </c>
    </row>
    <row r="31" spans="1:2">
      <c r="A31" t="s">
        <v>167</v>
      </c>
      <c r="B31">
        <v>2</v>
      </c>
    </row>
    <row r="32" spans="1:2">
      <c r="A32" t="s">
        <v>220</v>
      </c>
      <c r="B32">
        <v>2</v>
      </c>
    </row>
    <row r="33" spans="1:2">
      <c r="A33" t="s">
        <v>176</v>
      </c>
      <c r="B33">
        <v>2</v>
      </c>
    </row>
    <row r="34" spans="1:2">
      <c r="A34" t="s">
        <v>185</v>
      </c>
      <c r="B34">
        <v>3</v>
      </c>
    </row>
    <row r="35" spans="1:2">
      <c r="A35" t="s">
        <v>87</v>
      </c>
      <c r="B35">
        <v>3</v>
      </c>
    </row>
    <row r="36" spans="1:2">
      <c r="A36" t="s">
        <v>73</v>
      </c>
      <c r="B36">
        <v>4</v>
      </c>
    </row>
    <row r="37" spans="1:2">
      <c r="A37" t="s">
        <v>123</v>
      </c>
      <c r="B37">
        <v>5</v>
      </c>
    </row>
    <row r="43" spans="1:2">
      <c r="A43" t="s">
        <v>526</v>
      </c>
      <c r="B43" t="s">
        <v>529</v>
      </c>
    </row>
    <row r="44" spans="1:2">
      <c r="A44" t="s">
        <v>34</v>
      </c>
      <c r="B44">
        <v>24</v>
      </c>
    </row>
    <row r="45" spans="1:2">
      <c r="A45" t="s">
        <v>49</v>
      </c>
      <c r="B45">
        <v>1</v>
      </c>
    </row>
    <row r="46" spans="1:2">
      <c r="A46" t="s">
        <v>65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E7" sqref="E7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514</v>
      </c>
      <c r="B1" t="s">
        <v>530</v>
      </c>
    </row>
    <row r="2" spans="1:5">
      <c r="A2" t="s">
        <v>35</v>
      </c>
      <c r="B2" t="s">
        <v>531</v>
      </c>
      <c r="C2" t="s">
        <v>532</v>
      </c>
      <c r="D2" t="s">
        <v>533</v>
      </c>
      <c r="E2" t="s">
        <v>534</v>
      </c>
    </row>
    <row r="3" spans="1:5">
      <c r="A3" t="s">
        <v>535</v>
      </c>
      <c r="B3" t="s">
        <v>536</v>
      </c>
    </row>
    <row r="4" spans="1:5">
      <c r="A4" t="s">
        <v>117</v>
      </c>
      <c r="B4" t="s">
        <v>531</v>
      </c>
    </row>
    <row r="5" spans="1:5">
      <c r="A5" t="s">
        <v>537</v>
      </c>
      <c r="B5" t="s">
        <v>533</v>
      </c>
    </row>
    <row r="6" spans="1:5">
      <c r="A6" t="s">
        <v>538</v>
      </c>
      <c r="B6" t="s">
        <v>530</v>
      </c>
    </row>
    <row r="7" spans="1:5">
      <c r="A7" t="s">
        <v>539</v>
      </c>
      <c r="B7" t="s">
        <v>536</v>
      </c>
    </row>
    <row r="8" spans="1:5">
      <c r="A8" t="s">
        <v>540</v>
      </c>
      <c r="B8" t="s">
        <v>530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C20"/>
  <sheetViews>
    <sheetView workbookViewId="0">
      <selection activeCell="F14" sqref="F14"/>
    </sheetView>
  </sheetViews>
  <sheetFormatPr defaultColWidth="11.42578125" defaultRowHeight="14.45"/>
  <cols>
    <col min="1" max="1" width="29.85546875" bestFit="1" customWidth="1"/>
    <col min="2" max="2" width="29.85546875" customWidth="1"/>
    <col min="3" max="3" width="25.5703125" bestFit="1" customWidth="1"/>
  </cols>
  <sheetData>
    <row r="1" spans="1:3">
      <c r="A1" t="s">
        <v>1</v>
      </c>
      <c r="B1" t="s">
        <v>541</v>
      </c>
      <c r="C1" s="15" t="s">
        <v>542</v>
      </c>
    </row>
    <row r="2" spans="1:3">
      <c r="A2" t="s">
        <v>123</v>
      </c>
      <c r="B2">
        <v>5</v>
      </c>
      <c r="C2" s="16">
        <v>5</v>
      </c>
    </row>
    <row r="3" spans="1:3">
      <c r="A3" t="s">
        <v>73</v>
      </c>
      <c r="B3">
        <v>5</v>
      </c>
      <c r="C3" s="16">
        <v>4</v>
      </c>
    </row>
    <row r="4" spans="1:3">
      <c r="A4" t="s">
        <v>185</v>
      </c>
      <c r="B4">
        <v>5</v>
      </c>
      <c r="C4" s="16">
        <v>3</v>
      </c>
    </row>
    <row r="5" spans="1:3">
      <c r="A5" t="s">
        <v>87</v>
      </c>
      <c r="B5">
        <v>5</v>
      </c>
      <c r="C5" s="16">
        <v>3</v>
      </c>
    </row>
    <row r="6" spans="1:3">
      <c r="A6" t="s">
        <v>105</v>
      </c>
      <c r="B6">
        <v>5</v>
      </c>
      <c r="C6" s="16">
        <v>2</v>
      </c>
    </row>
    <row r="7" spans="1:3">
      <c r="A7" t="s">
        <v>146</v>
      </c>
      <c r="B7">
        <v>5</v>
      </c>
      <c r="C7" s="16">
        <v>2</v>
      </c>
    </row>
    <row r="8" spans="1:3">
      <c r="A8" t="s">
        <v>167</v>
      </c>
      <c r="B8">
        <v>5</v>
      </c>
      <c r="C8" s="16">
        <v>2</v>
      </c>
    </row>
    <row r="9" spans="1:3">
      <c r="A9" t="s">
        <v>220</v>
      </c>
      <c r="B9">
        <v>5</v>
      </c>
      <c r="C9" s="16">
        <v>2</v>
      </c>
    </row>
    <row r="10" spans="1:3">
      <c r="A10" t="s">
        <v>176</v>
      </c>
      <c r="B10">
        <v>5</v>
      </c>
      <c r="C10" s="16">
        <v>2</v>
      </c>
    </row>
    <row r="11" spans="1:3">
      <c r="A11" t="s">
        <v>227</v>
      </c>
      <c r="B11">
        <v>5</v>
      </c>
      <c r="C11" s="16">
        <v>1</v>
      </c>
    </row>
    <row r="12" spans="1:3">
      <c r="A12" t="s">
        <v>113</v>
      </c>
      <c r="B12">
        <v>5</v>
      </c>
      <c r="C12" s="16">
        <v>1</v>
      </c>
    </row>
    <row r="13" spans="1:3">
      <c r="A13" t="s">
        <v>199</v>
      </c>
      <c r="B13">
        <v>5</v>
      </c>
      <c r="C13" s="16">
        <v>1</v>
      </c>
    </row>
    <row r="14" spans="1:3">
      <c r="A14" t="s">
        <v>62</v>
      </c>
      <c r="B14">
        <v>5</v>
      </c>
      <c r="C14" s="16">
        <v>1</v>
      </c>
    </row>
    <row r="15" spans="1:3">
      <c r="A15" t="s">
        <v>45</v>
      </c>
      <c r="B15">
        <v>5</v>
      </c>
      <c r="C15" s="16">
        <v>1</v>
      </c>
    </row>
    <row r="16" spans="1:3">
      <c r="A16" t="s">
        <v>277</v>
      </c>
      <c r="B16">
        <v>5</v>
      </c>
      <c r="C16" s="16">
        <v>0</v>
      </c>
    </row>
    <row r="18" spans="1:3">
      <c r="A18" t="str" cm="1">
        <f t="array" ref="A18:A20">_xlfn.UNIQUE(Visitas_Operaciones!L2:L34)</f>
        <v>Centro</v>
      </c>
      <c r="B18">
        <f>SUM(B2:B16)</f>
        <v>75</v>
      </c>
      <c r="C18" s="16"/>
    </row>
    <row r="19" spans="1:3">
      <c r="A19" t="str">
        <v>Nororiente</v>
      </c>
    </row>
    <row r="20" spans="1:3">
      <c r="A20" t="str">
        <v>Occidente</v>
      </c>
    </row>
  </sheetData>
  <autoFilter ref="A1:C15" xr:uid="{17979348-3AA6-4D3A-A2FE-14E557A0B482}">
    <sortState xmlns:xlrd2="http://schemas.microsoft.com/office/spreadsheetml/2017/richdata2" ref="A2:C16">
      <sortCondition descending="1" ref="C1:C15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0497-9845-44B9-870E-A17678EFCC8F}">
  <dimension ref="A1:I20"/>
  <sheetViews>
    <sheetView workbookViewId="0">
      <selection activeCell="E1" sqref="E1"/>
    </sheetView>
  </sheetViews>
  <sheetFormatPr defaultColWidth="11.42578125" defaultRowHeight="14.45"/>
  <cols>
    <col min="1" max="1" width="35.5703125" bestFit="1" customWidth="1"/>
    <col min="5" max="5" width="12.5703125" bestFit="1" customWidth="1"/>
  </cols>
  <sheetData>
    <row r="1" spans="1:9">
      <c r="A1" s="17" t="s">
        <v>543</v>
      </c>
      <c r="B1" s="17" t="s">
        <v>544</v>
      </c>
      <c r="C1" s="17" t="s">
        <v>545</v>
      </c>
      <c r="D1" s="17" t="s">
        <v>546</v>
      </c>
      <c r="E1" s="17" t="s">
        <v>547</v>
      </c>
      <c r="F1" s="17" t="s">
        <v>548</v>
      </c>
      <c r="G1" s="17" t="s">
        <v>549</v>
      </c>
      <c r="H1" s="17" t="s">
        <v>550</v>
      </c>
      <c r="I1" s="17" t="s">
        <v>542</v>
      </c>
    </row>
    <row r="2" spans="1:9">
      <c r="A2" t="e" cm="1">
        <f t="array" ref="A2">_xlfn.UNIQUE(Visitas_Operaciones!#REF!)</f>
        <v>#REF!</v>
      </c>
      <c r="B2" t="s">
        <v>551</v>
      </c>
      <c r="C2" t="s">
        <v>552</v>
      </c>
      <c r="D2" t="s">
        <v>553</v>
      </c>
      <c r="E2">
        <v>2</v>
      </c>
      <c r="F2">
        <v>1</v>
      </c>
      <c r="G2">
        <v>1</v>
      </c>
      <c r="I2">
        <v>3</v>
      </c>
    </row>
    <row r="3" spans="1:9">
      <c r="B3" t="s">
        <v>551</v>
      </c>
      <c r="C3" t="s">
        <v>554</v>
      </c>
      <c r="D3" t="s">
        <v>553</v>
      </c>
      <c r="E3">
        <v>2</v>
      </c>
      <c r="F3">
        <v>1</v>
      </c>
      <c r="G3">
        <v>0</v>
      </c>
      <c r="H3">
        <v>1</v>
      </c>
      <c r="I3">
        <v>1</v>
      </c>
    </row>
    <row r="4" spans="1:9">
      <c r="B4" t="s">
        <v>551</v>
      </c>
      <c r="C4" t="s">
        <v>555</v>
      </c>
    </row>
    <row r="5" spans="1:9">
      <c r="B5" t="s">
        <v>551</v>
      </c>
      <c r="C5" t="s">
        <v>556</v>
      </c>
      <c r="D5" t="s">
        <v>553</v>
      </c>
      <c r="E5">
        <v>2</v>
      </c>
      <c r="F5">
        <v>2</v>
      </c>
      <c r="G5">
        <v>1</v>
      </c>
      <c r="H5">
        <v>1</v>
      </c>
      <c r="I5">
        <v>1</v>
      </c>
    </row>
    <row r="6" spans="1:9">
      <c r="B6" t="s">
        <v>551</v>
      </c>
      <c r="C6" t="s">
        <v>557</v>
      </c>
      <c r="D6" t="s">
        <v>553</v>
      </c>
      <c r="E6">
        <v>2</v>
      </c>
      <c r="F6">
        <v>2</v>
      </c>
      <c r="G6">
        <v>1</v>
      </c>
      <c r="I6">
        <v>1</v>
      </c>
    </row>
    <row r="7" spans="1:9">
      <c r="B7" t="s">
        <v>551</v>
      </c>
      <c r="C7" t="s">
        <v>558</v>
      </c>
      <c r="D7" t="s">
        <v>553</v>
      </c>
      <c r="E7">
        <v>2</v>
      </c>
      <c r="F7">
        <v>0</v>
      </c>
      <c r="G7">
        <v>0</v>
      </c>
    </row>
    <row r="8" spans="1:9">
      <c r="B8" t="s">
        <v>553</v>
      </c>
      <c r="C8" t="s">
        <v>559</v>
      </c>
    </row>
    <row r="9" spans="1:9">
      <c r="B9" t="s">
        <v>553</v>
      </c>
      <c r="C9" t="s">
        <v>560</v>
      </c>
      <c r="D9" t="s">
        <v>553</v>
      </c>
      <c r="E9">
        <v>10</v>
      </c>
      <c r="F9">
        <v>9</v>
      </c>
      <c r="G9">
        <v>0</v>
      </c>
      <c r="H9">
        <v>3</v>
      </c>
    </row>
    <row r="10" spans="1:9">
      <c r="B10" t="s">
        <v>551</v>
      </c>
      <c r="C10" t="s">
        <v>561</v>
      </c>
      <c r="D10" t="s">
        <v>553</v>
      </c>
      <c r="E10">
        <v>2</v>
      </c>
      <c r="F10">
        <v>2</v>
      </c>
      <c r="G10">
        <v>0</v>
      </c>
    </row>
    <row r="11" spans="1:9">
      <c r="B11" t="s">
        <v>553</v>
      </c>
      <c r="C11" t="s">
        <v>559</v>
      </c>
      <c r="D11" t="s">
        <v>553</v>
      </c>
      <c r="E11">
        <v>5</v>
      </c>
      <c r="F11">
        <v>1</v>
      </c>
      <c r="G11">
        <v>0</v>
      </c>
      <c r="H11">
        <v>1</v>
      </c>
    </row>
    <row r="12" spans="1:9">
      <c r="B12" t="s">
        <v>553</v>
      </c>
      <c r="C12" t="s">
        <v>562</v>
      </c>
    </row>
    <row r="13" spans="1:9">
      <c r="B13" t="s">
        <v>553</v>
      </c>
      <c r="C13" t="s">
        <v>559</v>
      </c>
      <c r="D13" t="s">
        <v>553</v>
      </c>
      <c r="E13">
        <v>5</v>
      </c>
      <c r="F13">
        <v>1</v>
      </c>
      <c r="G13">
        <v>0</v>
      </c>
      <c r="H13">
        <v>3</v>
      </c>
      <c r="I13">
        <v>3</v>
      </c>
    </row>
    <row r="14" spans="1:9">
      <c r="B14" t="s">
        <v>553</v>
      </c>
      <c r="C14" t="s">
        <v>563</v>
      </c>
    </row>
    <row r="15" spans="1:9">
      <c r="B15" t="s">
        <v>553</v>
      </c>
      <c r="C15" t="s">
        <v>563</v>
      </c>
    </row>
    <row r="16" spans="1:9">
      <c r="B16" t="s">
        <v>551</v>
      </c>
      <c r="C16" t="s">
        <v>389</v>
      </c>
    </row>
    <row r="17" spans="1:9">
      <c r="B17" t="s">
        <v>553</v>
      </c>
      <c r="C17" t="s">
        <v>563</v>
      </c>
      <c r="D17" t="s">
        <v>553</v>
      </c>
      <c r="E17">
        <v>5</v>
      </c>
      <c r="F17">
        <v>4</v>
      </c>
      <c r="G17">
        <v>0</v>
      </c>
      <c r="H17">
        <v>3</v>
      </c>
      <c r="I17">
        <v>1</v>
      </c>
    </row>
    <row r="18" spans="1:9">
      <c r="B18" t="s">
        <v>551</v>
      </c>
      <c r="C18" t="s">
        <v>564</v>
      </c>
      <c r="D18" t="s">
        <v>553</v>
      </c>
      <c r="E18">
        <v>2</v>
      </c>
      <c r="F18">
        <v>0</v>
      </c>
      <c r="G18">
        <v>3</v>
      </c>
      <c r="I18">
        <v>1</v>
      </c>
    </row>
    <row r="19" spans="1:9">
      <c r="A19" t="s">
        <v>565</v>
      </c>
      <c r="B19" t="s">
        <v>553</v>
      </c>
      <c r="C19" t="s">
        <v>563</v>
      </c>
      <c r="D19" t="s">
        <v>553</v>
      </c>
      <c r="E19">
        <v>5</v>
      </c>
      <c r="F19">
        <v>0</v>
      </c>
      <c r="G19">
        <v>0</v>
      </c>
      <c r="H19">
        <v>2</v>
      </c>
    </row>
    <row r="20" spans="1:9">
      <c r="A20" s="16" t="s">
        <v>566</v>
      </c>
      <c r="B20" s="16">
        <v>0</v>
      </c>
      <c r="C20" s="16">
        <v>0</v>
      </c>
      <c r="D20" s="16">
        <v>0</v>
      </c>
      <c r="E20" s="19">
        <f>SUM(E2:E19)</f>
        <v>44</v>
      </c>
      <c r="F20" s="19">
        <f>SUM(F2:F19)</f>
        <v>23</v>
      </c>
      <c r="G20" s="17">
        <f>SUM(G2:G19)</f>
        <v>6</v>
      </c>
      <c r="H20" s="17">
        <f>SUM(H2:H19)</f>
        <v>14</v>
      </c>
      <c r="I20" s="17">
        <f>SUM(I2:I19)</f>
        <v>11</v>
      </c>
    </row>
  </sheetData>
  <autoFilter ref="A1:G19" xr:uid="{2E1E0497-9845-44B9-870E-A17678EFCC8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567</v>
      </c>
      <c r="B1" t="s">
        <v>543</v>
      </c>
    </row>
    <row r="2" spans="1:2">
      <c r="A2" t="s">
        <v>562</v>
      </c>
      <c r="B2" t="s">
        <v>568</v>
      </c>
    </row>
    <row r="3" spans="1:2">
      <c r="A3" t="s">
        <v>569</v>
      </c>
      <c r="B3" t="s">
        <v>570</v>
      </c>
    </row>
    <row r="4" spans="1:2">
      <c r="A4" t="s">
        <v>554</v>
      </c>
      <c r="B4" t="s">
        <v>571</v>
      </c>
    </row>
    <row r="5" spans="1:2">
      <c r="A5" t="s">
        <v>552</v>
      </c>
      <c r="B5" t="s">
        <v>572</v>
      </c>
    </row>
    <row r="6" spans="1:2">
      <c r="A6" t="s">
        <v>558</v>
      </c>
      <c r="B6" t="s">
        <v>573</v>
      </c>
    </row>
    <row r="7" spans="1:2">
      <c r="A7" t="s">
        <v>556</v>
      </c>
      <c r="B7" t="s">
        <v>574</v>
      </c>
    </row>
    <row r="8" spans="1:2">
      <c r="A8" t="s">
        <v>557</v>
      </c>
      <c r="B8" t="s">
        <v>575</v>
      </c>
    </row>
    <row r="9" spans="1:2">
      <c r="A9" t="s">
        <v>561</v>
      </c>
      <c r="B9" t="s">
        <v>576</v>
      </c>
    </row>
    <row r="10" spans="1:2">
      <c r="A10" t="s">
        <v>577</v>
      </c>
      <c r="B10" t="s">
        <v>578</v>
      </c>
    </row>
    <row r="11" spans="1:2">
      <c r="A11" t="s">
        <v>564</v>
      </c>
      <c r="B11" t="s">
        <v>579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66" thickBot="1">
      <c r="A1" s="8">
        <v>3556027</v>
      </c>
      <c r="B1" s="8" t="s">
        <v>580</v>
      </c>
      <c r="C1" s="9"/>
      <c r="D1" s="8" t="s">
        <v>581</v>
      </c>
      <c r="E1" s="8" t="s">
        <v>582</v>
      </c>
      <c r="F1" s="8" t="s">
        <v>583</v>
      </c>
      <c r="G1" s="8" t="s">
        <v>584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32</v>
      </c>
      <c r="O1" s="8" t="s">
        <v>585</v>
      </c>
      <c r="P1" s="12" t="s">
        <v>586</v>
      </c>
      <c r="Q1" s="8" t="s">
        <v>587</v>
      </c>
      <c r="R1" s="1" t="s">
        <v>588</v>
      </c>
      <c r="S1" s="8" t="s">
        <v>589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66" thickBot="1">
      <c r="A2" s="8">
        <v>3556039</v>
      </c>
      <c r="B2" s="8" t="s">
        <v>580</v>
      </c>
      <c r="C2" s="9"/>
      <c r="D2" s="8" t="s">
        <v>581</v>
      </c>
      <c r="E2" s="8" t="s">
        <v>582</v>
      </c>
      <c r="F2" s="8" t="s">
        <v>583</v>
      </c>
      <c r="G2" s="8" t="s">
        <v>584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32</v>
      </c>
      <c r="O2" s="8" t="s">
        <v>585</v>
      </c>
      <c r="P2" s="12" t="s">
        <v>586</v>
      </c>
      <c r="Q2" s="8" t="s">
        <v>590</v>
      </c>
      <c r="R2" s="1" t="s">
        <v>588</v>
      </c>
      <c r="S2" s="8" t="s">
        <v>591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592</v>
      </c>
      <c r="C3" s="9"/>
      <c r="D3" s="8" t="s">
        <v>593</v>
      </c>
      <c r="E3" s="8" t="s">
        <v>582</v>
      </c>
      <c r="F3" s="8" t="s">
        <v>583</v>
      </c>
      <c r="G3" s="8" t="s">
        <v>594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32</v>
      </c>
      <c r="O3" s="8" t="s">
        <v>585</v>
      </c>
      <c r="P3" s="12" t="s">
        <v>586</v>
      </c>
      <c r="Q3" s="8" t="s">
        <v>595</v>
      </c>
      <c r="R3" s="1" t="s">
        <v>588</v>
      </c>
      <c r="S3" s="8" t="s">
        <v>596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579</v>
      </c>
      <c r="C4" s="9"/>
      <c r="D4" s="8" t="s">
        <v>597</v>
      </c>
      <c r="E4" s="8" t="s">
        <v>582</v>
      </c>
      <c r="F4" s="8" t="s">
        <v>583</v>
      </c>
      <c r="G4" s="8" t="s">
        <v>598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32</v>
      </c>
      <c r="O4" s="8" t="s">
        <v>585</v>
      </c>
      <c r="P4" s="12" t="s">
        <v>586</v>
      </c>
      <c r="Q4" s="8" t="s">
        <v>599</v>
      </c>
      <c r="R4" s="1" t="s">
        <v>588</v>
      </c>
      <c r="S4" s="8" t="s">
        <v>600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BFB4-0438-46CA-8950-6F60AA269E8A}">
  <dimension ref="A1:J20"/>
  <sheetViews>
    <sheetView workbookViewId="0">
      <selection activeCell="G2" sqref="G2"/>
    </sheetView>
  </sheetViews>
  <sheetFormatPr defaultColWidth="11.42578125" defaultRowHeight="14.45"/>
  <cols>
    <col min="1" max="1" width="35.5703125" bestFit="1" customWidth="1"/>
    <col min="2" max="3" width="11" bestFit="1" customWidth="1"/>
    <col min="4" max="4" width="6" bestFit="1" customWidth="1"/>
    <col min="5" max="5" width="11.28515625" bestFit="1" customWidth="1"/>
    <col min="6" max="6" width="14.140625" bestFit="1" customWidth="1"/>
    <col min="7" max="9" width="7.42578125" bestFit="1" customWidth="1"/>
  </cols>
  <sheetData>
    <row r="1" spans="1:10">
      <c r="A1" s="17" t="s">
        <v>543</v>
      </c>
      <c r="B1" s="17" t="s">
        <v>544</v>
      </c>
      <c r="C1" s="17" t="s">
        <v>545</v>
      </c>
      <c r="D1" s="17" t="s">
        <v>546</v>
      </c>
      <c r="E1" s="17" t="s">
        <v>601</v>
      </c>
      <c r="F1" s="18" t="s">
        <v>602</v>
      </c>
      <c r="G1" s="17" t="s">
        <v>548</v>
      </c>
      <c r="H1" s="17" t="s">
        <v>549</v>
      </c>
      <c r="I1" s="17" t="s">
        <v>550</v>
      </c>
      <c r="J1" s="17" t="s">
        <v>542</v>
      </c>
    </row>
    <row r="2" spans="1:10">
      <c r="A2" t="e" cm="1">
        <f t="array" ref="A2">_xlfn.UNIQUE(Visitas_Operaciones!#REF!)</f>
        <v>#REF!</v>
      </c>
      <c r="B2" t="s">
        <v>551</v>
      </c>
      <c r="C2" t="s">
        <v>552</v>
      </c>
      <c r="D2" t="s">
        <v>553</v>
      </c>
      <c r="E2">
        <v>8</v>
      </c>
      <c r="F2" s="13">
        <v>10</v>
      </c>
      <c r="G2" s="16" t="e">
        <f>COUNTIFS(Visitas_Operaciones!$B:$B,Visitas!$A2,Visitas_Operaciones!#REF!,Visitas!G$1)</f>
        <v>#REF!</v>
      </c>
      <c r="H2" s="16" t="e">
        <f>COUNTIFS(Visitas_Operaciones!$B:$B,Visitas!$A2,Visitas_Operaciones!#REF!,Visitas!H$1)</f>
        <v>#REF!</v>
      </c>
      <c r="I2" s="16" t="e">
        <f>COUNTIFS(Visitas_Operaciones!$B:$B,Visitas!$A2,Visitas_Operaciones!#REF!,Visitas!I$1)</f>
        <v>#REF!</v>
      </c>
      <c r="J2" s="16" t="e">
        <f>COUNTIFS(Visitas_Operaciones!$B:$B,Visitas!$A2,Visitas_Operaciones!#REF!,Visitas!J$1)</f>
        <v>#REF!</v>
      </c>
    </row>
    <row r="3" spans="1:10">
      <c r="B3" t="s">
        <v>551</v>
      </c>
      <c r="C3" t="s">
        <v>554</v>
      </c>
      <c r="D3" t="s">
        <v>553</v>
      </c>
      <c r="E3">
        <v>8</v>
      </c>
      <c r="F3" s="13">
        <v>10</v>
      </c>
      <c r="G3" s="16" t="e">
        <f>COUNTIFS(Visitas_Operaciones!B:B,Visitas!A3,Visitas_Operaciones!#REF!,Visitas!$G$1)</f>
        <v>#REF!</v>
      </c>
      <c r="H3" s="16" t="e">
        <f>COUNTIFS(Visitas_Operaciones!B:B,Visitas!A3,Visitas_Operaciones!#REF!,$H$1)</f>
        <v>#REF!</v>
      </c>
      <c r="I3" s="16" t="e">
        <f>COUNTIFS(Visitas_Operaciones!$B:$B,Visitas!$A3,Visitas_Operaciones!#REF!,Visitas!I$1)</f>
        <v>#REF!</v>
      </c>
      <c r="J3" s="16" t="e">
        <f>COUNTIFS(Visitas_Operaciones!$B:$B,Visitas!$A3,Visitas_Operaciones!#REF!,Visitas!J$1)</f>
        <v>#REF!</v>
      </c>
    </row>
    <row r="4" spans="1:10">
      <c r="B4" t="s">
        <v>551</v>
      </c>
      <c r="C4" t="s">
        <v>555</v>
      </c>
      <c r="F4" s="13"/>
      <c r="G4" s="16" t="e">
        <f>COUNTIFS(Visitas_Operaciones!B:B,Visitas!A4,Visitas_Operaciones!#REF!,Visitas!$G$1)</f>
        <v>#REF!</v>
      </c>
      <c r="H4" s="16" t="e">
        <f>COUNTIFS(Visitas_Operaciones!B:B,Visitas!A4,Visitas_Operaciones!#REF!,$H$1)</f>
        <v>#REF!</v>
      </c>
      <c r="I4" s="16" t="e">
        <f>COUNTIFS(Visitas_Operaciones!$B:$B,Visitas!$A4,Visitas_Operaciones!#REF!,Visitas!I$1)</f>
        <v>#REF!</v>
      </c>
      <c r="J4" s="16" t="e">
        <f>COUNTIFS(Visitas_Operaciones!$B:$B,Visitas!$A4,Visitas_Operaciones!#REF!,Visitas!J$1)</f>
        <v>#REF!</v>
      </c>
    </row>
    <row r="5" spans="1:10">
      <c r="B5" t="s">
        <v>551</v>
      </c>
      <c r="C5" t="s">
        <v>556</v>
      </c>
      <c r="D5" t="s">
        <v>553</v>
      </c>
      <c r="E5">
        <v>8</v>
      </c>
      <c r="F5" s="13">
        <v>10</v>
      </c>
      <c r="G5" s="16" t="e">
        <f>COUNTIFS(Visitas_Operaciones!B:B,Visitas!A5,Visitas_Operaciones!#REF!,Visitas!$G$1)</f>
        <v>#REF!</v>
      </c>
      <c r="H5" s="16" t="e">
        <f>COUNTIFS(Visitas_Operaciones!B:B,Visitas!A5,Visitas_Operaciones!#REF!,$H$1)</f>
        <v>#REF!</v>
      </c>
      <c r="I5" s="16" t="e">
        <f>COUNTIFS(Visitas_Operaciones!$B:$B,Visitas!$A5,Visitas_Operaciones!#REF!,Visitas!I$1)</f>
        <v>#REF!</v>
      </c>
      <c r="J5" s="16" t="e">
        <f>COUNTIFS(Visitas_Operaciones!$B:$B,Visitas!$A5,Visitas_Operaciones!#REF!,Visitas!J$1)</f>
        <v>#REF!</v>
      </c>
    </row>
    <row r="6" spans="1:10">
      <c r="B6" t="s">
        <v>551</v>
      </c>
      <c r="C6" t="s">
        <v>557</v>
      </c>
      <c r="D6" t="s">
        <v>553</v>
      </c>
      <c r="E6">
        <v>8</v>
      </c>
      <c r="F6" s="13">
        <v>10</v>
      </c>
      <c r="G6" s="16" t="e">
        <f>COUNTIFS(Visitas_Operaciones!B:B,Visitas!A6,Visitas_Operaciones!#REF!,Visitas!$G$1)</f>
        <v>#REF!</v>
      </c>
      <c r="H6" s="16" t="e">
        <f>COUNTIFS(Visitas_Operaciones!B:B,Visitas!A6,Visitas_Operaciones!#REF!,$H$1)</f>
        <v>#REF!</v>
      </c>
      <c r="I6" s="16" t="e">
        <f>COUNTIFS(Visitas_Operaciones!$B:$B,Visitas!$A6,Visitas_Operaciones!#REF!,Visitas!I$1)</f>
        <v>#REF!</v>
      </c>
      <c r="J6" s="16" t="e">
        <f>COUNTIFS(Visitas_Operaciones!$B:$B,Visitas!$A6,Visitas_Operaciones!#REF!,Visitas!J$1)</f>
        <v>#REF!</v>
      </c>
    </row>
    <row r="7" spans="1:10">
      <c r="B7" t="s">
        <v>551</v>
      </c>
      <c r="C7" t="s">
        <v>558</v>
      </c>
      <c r="D7" t="s">
        <v>553</v>
      </c>
      <c r="E7">
        <v>8</v>
      </c>
      <c r="F7" s="13">
        <v>10</v>
      </c>
      <c r="G7" s="16" t="e">
        <f>COUNTIFS(Visitas_Operaciones!B:B,Visitas!A7,Visitas_Operaciones!#REF!,Visitas!$G$1)</f>
        <v>#REF!</v>
      </c>
      <c r="H7" s="16" t="e">
        <f>COUNTIFS(Visitas_Operaciones!B:B,Visitas!A7,Visitas_Operaciones!#REF!,$H$1)</f>
        <v>#REF!</v>
      </c>
      <c r="I7" s="16" t="e">
        <f>COUNTIFS(Visitas_Operaciones!$B:$B,Visitas!$A7,Visitas_Operaciones!#REF!,Visitas!I$1)</f>
        <v>#REF!</v>
      </c>
      <c r="J7" s="16" t="e">
        <f>COUNTIFS(Visitas_Operaciones!$B:$B,Visitas!$A7,Visitas_Operaciones!#REF!,Visitas!J$1)</f>
        <v>#REF!</v>
      </c>
    </row>
    <row r="8" spans="1:10">
      <c r="B8" t="s">
        <v>553</v>
      </c>
      <c r="C8" t="s">
        <v>559</v>
      </c>
      <c r="F8" s="13"/>
      <c r="G8" s="16" t="e">
        <f>COUNTIFS(Visitas_Operaciones!B:B,Visitas!A8,Visitas_Operaciones!#REF!,Visitas!$G$1)</f>
        <v>#REF!</v>
      </c>
      <c r="H8" s="16" t="e">
        <f>COUNTIFS(Visitas_Operaciones!B:B,Visitas!A8,Visitas_Operaciones!#REF!,$H$1)</f>
        <v>#REF!</v>
      </c>
      <c r="I8" s="16" t="e">
        <f>COUNTIFS(Visitas_Operaciones!$B:$B,Visitas!$A8,Visitas_Operaciones!#REF!,Visitas!I$1)</f>
        <v>#REF!</v>
      </c>
      <c r="J8" s="16" t="e">
        <f>COUNTIFS(Visitas_Operaciones!$B:$B,Visitas!$A8,Visitas_Operaciones!#REF!,Visitas!J$1)</f>
        <v>#REF!</v>
      </c>
    </row>
    <row r="9" spans="1:10">
      <c r="B9" t="s">
        <v>553</v>
      </c>
      <c r="C9" t="s">
        <v>560</v>
      </c>
      <c r="D9" t="s">
        <v>553</v>
      </c>
      <c r="E9" s="14">
        <f>(F9/5)*4</f>
        <v>26.4</v>
      </c>
      <c r="F9" s="13">
        <v>33</v>
      </c>
      <c r="G9" s="16" t="e">
        <f>COUNTIFS(Visitas_Operaciones!B:B,Visitas!A9,Visitas_Operaciones!#REF!,Visitas!$G$1)</f>
        <v>#REF!</v>
      </c>
      <c r="H9" s="16" t="e">
        <f>COUNTIFS(Visitas_Operaciones!B:B,Visitas!A9,Visitas_Operaciones!#REF!,$H$1)</f>
        <v>#REF!</v>
      </c>
      <c r="I9" s="16" t="e">
        <f>COUNTIFS(Visitas_Operaciones!$B:$B,Visitas!$A9,Visitas_Operaciones!#REF!,Visitas!I$1)</f>
        <v>#REF!</v>
      </c>
      <c r="J9" s="16" t="e">
        <f>COUNTIFS(Visitas_Operaciones!$B:$B,Visitas!$A9,Visitas_Operaciones!#REF!,Visitas!J$1)</f>
        <v>#REF!</v>
      </c>
    </row>
    <row r="10" spans="1:10">
      <c r="B10" t="s">
        <v>551</v>
      </c>
      <c r="C10" t="s">
        <v>561</v>
      </c>
      <c r="D10" t="s">
        <v>553</v>
      </c>
      <c r="E10">
        <v>8</v>
      </c>
      <c r="F10" s="13">
        <v>10</v>
      </c>
      <c r="G10" s="16" t="e">
        <f>COUNTIFS(Visitas_Operaciones!B:B,Visitas!A10,Visitas_Operaciones!#REF!,Visitas!$G$1)</f>
        <v>#REF!</v>
      </c>
      <c r="H10" s="16" t="e">
        <f>COUNTIFS(Visitas_Operaciones!B:B,Visitas!A10,Visitas_Operaciones!#REF!,$H$1)</f>
        <v>#REF!</v>
      </c>
      <c r="I10" s="16" t="e">
        <f>COUNTIFS(Visitas_Operaciones!$B:$B,Visitas!$A10,Visitas_Operaciones!#REF!,Visitas!I$1)</f>
        <v>#REF!</v>
      </c>
      <c r="J10" s="16" t="e">
        <f>COUNTIFS(Visitas_Operaciones!$B:$B,Visitas!$A10,Visitas_Operaciones!#REF!,Visitas!J$1)</f>
        <v>#REF!</v>
      </c>
    </row>
    <row r="11" spans="1:10">
      <c r="B11" t="s">
        <v>553</v>
      </c>
      <c r="C11" t="s">
        <v>559</v>
      </c>
      <c r="D11" t="s">
        <v>553</v>
      </c>
      <c r="E11" s="14">
        <f>(F11/5)*4</f>
        <v>13.333333333333281</v>
      </c>
      <c r="F11" s="13">
        <v>16.6666666666666</v>
      </c>
      <c r="G11" s="16" t="e">
        <f>COUNTIFS(Visitas_Operaciones!B:B,Visitas!A11,Visitas_Operaciones!#REF!,Visitas!$G$1)</f>
        <v>#REF!</v>
      </c>
      <c r="H11" s="16" t="e">
        <f>COUNTIFS(Visitas_Operaciones!B:B,Visitas!A11,Visitas_Operaciones!#REF!,$H$1)</f>
        <v>#REF!</v>
      </c>
      <c r="I11" s="16" t="e">
        <f>COUNTIFS(Visitas_Operaciones!$B:$B,Visitas!$A11,Visitas_Operaciones!#REF!,Visitas!I$1)</f>
        <v>#REF!</v>
      </c>
      <c r="J11" s="16" t="e">
        <f>COUNTIFS(Visitas_Operaciones!$B:$B,Visitas!$A11,Visitas_Operaciones!#REF!,Visitas!J$1)</f>
        <v>#REF!</v>
      </c>
    </row>
    <row r="12" spans="1:10">
      <c r="B12" t="s">
        <v>553</v>
      </c>
      <c r="C12" t="s">
        <v>562</v>
      </c>
      <c r="F12" s="13"/>
      <c r="G12" s="16" t="e">
        <f>COUNTIFS(Visitas_Operaciones!B:B,Visitas!A12,Visitas_Operaciones!#REF!,Visitas!$G$1)</f>
        <v>#REF!</v>
      </c>
      <c r="H12" s="16" t="e">
        <f>COUNTIFS(Visitas_Operaciones!B:B,Visitas!A12,Visitas_Operaciones!#REF!,$H$1)</f>
        <v>#REF!</v>
      </c>
      <c r="I12" s="16" t="e">
        <f>COUNTIFS(Visitas_Operaciones!$B:$B,Visitas!$A12,Visitas_Operaciones!#REF!,Visitas!I$1)</f>
        <v>#REF!</v>
      </c>
      <c r="J12" s="16" t="e">
        <f>COUNTIFS(Visitas_Operaciones!$B:$B,Visitas!$A12,Visitas_Operaciones!#REF!,Visitas!J$1)</f>
        <v>#REF!</v>
      </c>
    </row>
    <row r="13" spans="1:10">
      <c r="B13" t="s">
        <v>553</v>
      </c>
      <c r="C13" t="s">
        <v>559</v>
      </c>
      <c r="D13" t="s">
        <v>553</v>
      </c>
      <c r="E13" s="14">
        <f>(F13/5)*4</f>
        <v>13.333333333333281</v>
      </c>
      <c r="F13" s="13">
        <v>16.6666666666666</v>
      </c>
      <c r="G13" s="16" t="e">
        <f>COUNTIFS(Visitas_Operaciones!B:B,Visitas!A13,Visitas_Operaciones!#REF!,Visitas!$G$1)</f>
        <v>#REF!</v>
      </c>
      <c r="H13" s="16" t="e">
        <f>COUNTIFS(Visitas_Operaciones!B:B,Visitas!A13,Visitas_Operaciones!#REF!,$H$1)</f>
        <v>#REF!</v>
      </c>
      <c r="I13" s="16" t="e">
        <f>COUNTIFS(Visitas_Operaciones!$B:$B,Visitas!$A13,Visitas_Operaciones!#REF!,Visitas!I$1)</f>
        <v>#REF!</v>
      </c>
      <c r="J13" s="16" t="e">
        <f>COUNTIFS(Visitas_Operaciones!$B:$B,Visitas!$A13,Visitas_Operaciones!#REF!,Visitas!J$1)</f>
        <v>#REF!</v>
      </c>
    </row>
    <row r="14" spans="1:10">
      <c r="B14" t="s">
        <v>553</v>
      </c>
      <c r="C14" t="s">
        <v>563</v>
      </c>
      <c r="F14" s="13"/>
      <c r="G14" s="16" t="e">
        <f>COUNTIFS(Visitas_Operaciones!B:B,Visitas!A14,Visitas_Operaciones!#REF!,Visitas!$G$1)</f>
        <v>#REF!</v>
      </c>
      <c r="H14" s="16" t="e">
        <f>COUNTIFS(Visitas_Operaciones!B:B,Visitas!A14,Visitas_Operaciones!#REF!,$H$1)</f>
        <v>#REF!</v>
      </c>
      <c r="I14" s="16" t="e">
        <f>COUNTIFS(Visitas_Operaciones!$B:$B,Visitas!$A14,Visitas_Operaciones!#REF!,Visitas!I$1)</f>
        <v>#REF!</v>
      </c>
      <c r="J14" s="16" t="e">
        <f>COUNTIFS(Visitas_Operaciones!$B:$B,Visitas!$A14,Visitas_Operaciones!#REF!,Visitas!J$1)</f>
        <v>#REF!</v>
      </c>
    </row>
    <row r="15" spans="1:10">
      <c r="B15" t="s">
        <v>553</v>
      </c>
      <c r="C15" t="s">
        <v>563</v>
      </c>
      <c r="F15" s="13"/>
      <c r="G15" s="16" t="e">
        <f>COUNTIFS(Visitas_Operaciones!B:B,Visitas!A15,Visitas_Operaciones!#REF!,Visitas!$G$1)</f>
        <v>#REF!</v>
      </c>
      <c r="H15" s="16" t="e">
        <f>COUNTIFS(Visitas_Operaciones!B:B,Visitas!A15,Visitas_Operaciones!#REF!,$H$1)</f>
        <v>#REF!</v>
      </c>
      <c r="I15" s="16" t="e">
        <f>COUNTIFS(Visitas_Operaciones!$B:$B,Visitas!$A15,Visitas_Operaciones!#REF!,Visitas!I$1)</f>
        <v>#REF!</v>
      </c>
      <c r="J15" s="16" t="e">
        <f>COUNTIFS(Visitas_Operaciones!$B:$B,Visitas!$A15,Visitas_Operaciones!#REF!,Visitas!J$1)</f>
        <v>#REF!</v>
      </c>
    </row>
    <row r="16" spans="1:10">
      <c r="B16" t="s">
        <v>551</v>
      </c>
      <c r="C16" t="s">
        <v>389</v>
      </c>
      <c r="F16" s="13"/>
      <c r="G16" s="16" t="e">
        <f>COUNTIFS(Visitas_Operaciones!B:B,Visitas!A16,Visitas_Operaciones!#REF!,Visitas!$G$1)</f>
        <v>#REF!</v>
      </c>
      <c r="H16" s="16" t="e">
        <f>COUNTIFS(Visitas_Operaciones!B:B,Visitas!A16,Visitas_Operaciones!#REF!,$H$1)</f>
        <v>#REF!</v>
      </c>
      <c r="I16" s="16" t="e">
        <f>COUNTIFS(Visitas_Operaciones!$B:$B,Visitas!$A16,Visitas_Operaciones!#REF!,Visitas!I$1)</f>
        <v>#REF!</v>
      </c>
      <c r="J16" s="16" t="e">
        <f>COUNTIFS(Visitas_Operaciones!$B:$B,Visitas!$A16,Visitas_Operaciones!#REF!,Visitas!J$1)</f>
        <v>#REF!</v>
      </c>
    </row>
    <row r="17" spans="1:10">
      <c r="B17" t="s">
        <v>553</v>
      </c>
      <c r="C17" t="s">
        <v>563</v>
      </c>
      <c r="D17" t="s">
        <v>553</v>
      </c>
      <c r="E17" s="14">
        <f>(F17/5)*4</f>
        <v>13.333333200000002</v>
      </c>
      <c r="F17" s="13">
        <v>16.666666500000002</v>
      </c>
      <c r="G17" s="16" t="e">
        <f>COUNTIFS(Visitas_Operaciones!B:B,Visitas!A17,Visitas_Operaciones!#REF!,Visitas!$G$1)</f>
        <v>#REF!</v>
      </c>
      <c r="H17" s="16" t="e">
        <f>COUNTIFS(Visitas_Operaciones!B:B,Visitas!A17,Visitas_Operaciones!#REF!,$H$1)</f>
        <v>#REF!</v>
      </c>
      <c r="I17" s="16" t="e">
        <f>COUNTIFS(Visitas_Operaciones!$B:$B,Visitas!$A17,Visitas_Operaciones!#REF!,Visitas!I$1)</f>
        <v>#REF!</v>
      </c>
      <c r="J17" s="16" t="e">
        <f>COUNTIFS(Visitas_Operaciones!$B:$B,Visitas!$A17,Visitas_Operaciones!#REF!,Visitas!J$1)</f>
        <v>#REF!</v>
      </c>
    </row>
    <row r="18" spans="1:10">
      <c r="B18" t="s">
        <v>551</v>
      </c>
      <c r="C18" t="s">
        <v>564</v>
      </c>
      <c r="D18" t="s">
        <v>553</v>
      </c>
      <c r="E18">
        <v>8</v>
      </c>
      <c r="F18" s="13">
        <v>10</v>
      </c>
      <c r="G18" s="16" t="e">
        <f>COUNTIFS(Visitas_Operaciones!B:B,Visitas!A18,Visitas_Operaciones!#REF!,Visitas!$G$1)</f>
        <v>#REF!</v>
      </c>
      <c r="H18" s="16" t="e">
        <f>COUNTIFS(Visitas_Operaciones!B:B,Visitas!A18,Visitas_Operaciones!#REF!,$H$1)</f>
        <v>#REF!</v>
      </c>
      <c r="I18" s="16" t="e">
        <f>COUNTIFS(Visitas_Operaciones!$B:$B,Visitas!$A18,Visitas_Operaciones!#REF!,Visitas!I$1)</f>
        <v>#REF!</v>
      </c>
      <c r="J18" s="16" t="e">
        <f>COUNTIFS(Visitas_Operaciones!$B:$B,Visitas!$A18,Visitas_Operaciones!#REF!,Visitas!J$1)</f>
        <v>#REF!</v>
      </c>
    </row>
    <row r="19" spans="1:10">
      <c r="A19" t="s">
        <v>565</v>
      </c>
      <c r="B19" t="s">
        <v>553</v>
      </c>
      <c r="C19" t="s">
        <v>563</v>
      </c>
      <c r="D19" t="s">
        <v>553</v>
      </c>
      <c r="E19" s="14">
        <f>(F19/5)*4</f>
        <v>13.333333200000002</v>
      </c>
      <c r="F19" s="13">
        <v>16.666666500000002</v>
      </c>
      <c r="G19" s="16" t="e">
        <f>COUNTIFS(Visitas_Operaciones!B:B,Visitas!A19,Visitas_Operaciones!#REF!,Visitas!$G$1)</f>
        <v>#REF!</v>
      </c>
      <c r="H19" s="16" t="e">
        <f>COUNTIFS(Visitas_Operaciones!B:B,Visitas!A19,Visitas_Operaciones!#REF!,$H$1)</f>
        <v>#REF!</v>
      </c>
      <c r="I19" s="16" t="e">
        <f>COUNTIFS(Visitas_Operaciones!$B:$B,Visitas!$A19,Visitas_Operaciones!#REF!,Visitas!I$1)</f>
        <v>#REF!</v>
      </c>
      <c r="J19" s="16" t="e">
        <f>COUNTIFS(Visitas_Operaciones!$B:$B,Visitas!$A19,Visitas_Operaciones!#REF!,Visitas!J$1)</f>
        <v>#REF!</v>
      </c>
    </row>
    <row r="20" spans="1:10">
      <c r="A20" s="16" t="s">
        <v>566</v>
      </c>
      <c r="B20" s="16"/>
      <c r="C20" s="16"/>
      <c r="D20" s="16"/>
      <c r="E20" s="16"/>
      <c r="F20" s="16"/>
      <c r="G20" s="16" t="e">
        <f>SUM(G2:G19)</f>
        <v>#REF!</v>
      </c>
      <c r="H20" s="16" t="e">
        <f>SUM(H2:H19)</f>
        <v>#REF!</v>
      </c>
      <c r="I20" s="16" t="e">
        <f>SUM(I2:I19)</f>
        <v>#REF!</v>
      </c>
      <c r="J20" s="16" t="e">
        <f>SUM(J2:J19)</f>
        <v>#REF!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BECF-59BE-4A82-8981-6ACB4888C778}">
  <dimension ref="A1:F5"/>
  <sheetViews>
    <sheetView workbookViewId="0">
      <selection activeCell="G24" sqref="G24"/>
    </sheetView>
  </sheetViews>
  <sheetFormatPr defaultColWidth="11.42578125" defaultRowHeight="14.45"/>
  <cols>
    <col min="2" max="2" width="6.85546875" bestFit="1" customWidth="1"/>
    <col min="3" max="3" width="5.28515625" bestFit="1" customWidth="1"/>
    <col min="5" max="5" width="4.42578125" bestFit="1" customWidth="1"/>
    <col min="6" max="6" width="12.85546875" bestFit="1" customWidth="1"/>
  </cols>
  <sheetData>
    <row r="1" spans="1:6">
      <c r="A1" s="23" t="s">
        <v>603</v>
      </c>
      <c r="B1" s="24" t="s">
        <v>604</v>
      </c>
      <c r="C1" s="24" t="s">
        <v>605</v>
      </c>
      <c r="D1" s="24" t="s">
        <v>606</v>
      </c>
      <c r="E1" s="24" t="s">
        <v>607</v>
      </c>
      <c r="F1" s="24" t="s">
        <v>608</v>
      </c>
    </row>
    <row r="2" spans="1:6">
      <c r="A2" s="17" t="s">
        <v>548</v>
      </c>
      <c r="B2" s="21" t="str">
        <f>IF(COUNTIF('Festivos Colombia 2025-2026'!$C$2:$C$37,A2)&gt;0,"SI","NO")</f>
        <v>NO</v>
      </c>
      <c r="C2" s="20" t="str">
        <f>IF(B2="NO","170","136")</f>
        <v>170</v>
      </c>
      <c r="D2" s="19" t="e">
        <f>COUNTIF(Visitas_Operaciones!#REF!,'Cumplimiento Visitas'!A2)</f>
        <v>#REF!</v>
      </c>
      <c r="E2" s="20" t="e">
        <f>_xlfn.XLOOKUP(A2,Visitas_Operaciones!#REF!,Visitas_Operaciones!#REF!)</f>
        <v>#REF!</v>
      </c>
      <c r="F2" s="22" t="e">
        <f>D2/C2</f>
        <v>#REF!</v>
      </c>
    </row>
    <row r="3" spans="1:6">
      <c r="A3" s="17" t="s">
        <v>549</v>
      </c>
      <c r="B3" s="21" t="str">
        <f>IF(COUNTIF('Festivos Colombia 2025-2026'!$C$2:$C$37,A3)&gt;0,"SI","NO")</f>
        <v>SI</v>
      </c>
      <c r="C3" s="20" t="str">
        <f t="shared" ref="C3:C4" si="0">IF(B3="NO","170","136")</f>
        <v>136</v>
      </c>
      <c r="D3" s="19" t="e">
        <f>COUNTIF(Visitas_Operaciones!#REF!,'Cumplimiento Visitas'!A3)</f>
        <v>#REF!</v>
      </c>
      <c r="E3" s="20" t="e">
        <f>_xlfn.XLOOKUP(A3,Visitas_Operaciones!#REF!,Visitas_Operaciones!#REF!)</f>
        <v>#REF!</v>
      </c>
      <c r="F3" s="22" t="e">
        <f t="shared" ref="F3:F4" si="1">D3/C3</f>
        <v>#REF!</v>
      </c>
    </row>
    <row r="4" spans="1:6">
      <c r="A4" s="17" t="s">
        <v>550</v>
      </c>
      <c r="B4" s="21" t="str">
        <f>IF(COUNTIF('Festivos Colombia 2025-2026'!$C$2:$C$37,A4)&gt;0,"SI","NO")</f>
        <v>NO</v>
      </c>
      <c r="C4" s="20" t="str">
        <f t="shared" si="0"/>
        <v>170</v>
      </c>
      <c r="D4" s="19" t="e">
        <f>COUNTIF(Visitas_Operaciones!#REF!,'Cumplimiento Visitas'!A4)</f>
        <v>#REF!</v>
      </c>
      <c r="E4" s="20" t="e">
        <f>_xlfn.XLOOKUP(A4,Visitas_Operaciones!#REF!,Visitas_Operaciones!#REF!)</f>
        <v>#REF!</v>
      </c>
      <c r="F4" s="22" t="e">
        <f t="shared" si="1"/>
        <v>#REF!</v>
      </c>
    </row>
    <row r="5" spans="1:6">
      <c r="A5" s="17" t="s">
        <v>542</v>
      </c>
      <c r="B5" s="21" t="str">
        <f>IF(COUNTIF('Festivos Colombia 2025-2026'!$C$2:$C$37,A5)&gt;0,"SI","NO")</f>
        <v>SI</v>
      </c>
      <c r="C5" s="20" t="str">
        <f t="shared" ref="C5" si="2">IF(B5="NO","170","136")</f>
        <v>136</v>
      </c>
      <c r="D5" s="19" t="e">
        <f>COUNTIF(Visitas_Operaciones!#REF!,'Cumplimiento Visitas'!A5)</f>
        <v>#REF!</v>
      </c>
      <c r="E5" s="20" t="e">
        <f>_xlfn.XLOOKUP(A5,Visitas_Operaciones!#REF!,Visitas_Operaciones!#REF!)</f>
        <v>#REF!</v>
      </c>
      <c r="F5" s="22" t="e">
        <f t="shared" ref="F5" si="3">D5/C5</f>
        <v>#REF!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69E4-41C6-457B-BD78-C011DE18279B}">
  <dimension ref="A1:E5"/>
  <sheetViews>
    <sheetView workbookViewId="0">
      <selection activeCell="B5" sqref="B5"/>
    </sheetView>
  </sheetViews>
  <sheetFormatPr defaultColWidth="11.42578125" defaultRowHeight="14.45"/>
  <cols>
    <col min="2" max="2" width="5.28515625" bestFit="1" customWidth="1"/>
    <col min="3" max="3" width="12.85546875" bestFit="1" customWidth="1"/>
    <col min="4" max="4" width="4.42578125" bestFit="1" customWidth="1"/>
    <col min="5" max="5" width="12.85546875" bestFit="1" customWidth="1"/>
  </cols>
  <sheetData>
    <row r="1" spans="1:5">
      <c r="A1" s="23" t="s">
        <v>603</v>
      </c>
      <c r="B1" s="24" t="s">
        <v>605</v>
      </c>
      <c r="C1" s="24" t="s">
        <v>609</v>
      </c>
      <c r="D1" s="24" t="s">
        <v>607</v>
      </c>
      <c r="E1" s="24" t="s">
        <v>608</v>
      </c>
    </row>
    <row r="2" spans="1:5">
      <c r="A2" s="17" t="s">
        <v>548</v>
      </c>
      <c r="B2" s="20">
        <v>44</v>
      </c>
      <c r="C2" s="19">
        <f>Efectivos!F20</f>
        <v>23</v>
      </c>
      <c r="D2" s="20" t="e">
        <f>_xlfn.XLOOKUP(A2,Visitas_Operaciones!#REF!,Visitas_Operaciones!#REF!)</f>
        <v>#REF!</v>
      </c>
      <c r="E2" s="22">
        <f>C2/B2</f>
        <v>0.52272727272727271</v>
      </c>
    </row>
    <row r="3" spans="1:5">
      <c r="A3" s="17" t="s">
        <v>549</v>
      </c>
      <c r="B3" s="20">
        <v>44</v>
      </c>
      <c r="C3" s="19">
        <f>Efectivos!G20</f>
        <v>6</v>
      </c>
      <c r="D3" s="20" t="e">
        <f>_xlfn.XLOOKUP(A3,Visitas_Operaciones!#REF!,Visitas_Operaciones!#REF!)</f>
        <v>#REF!</v>
      </c>
      <c r="E3" s="22">
        <f t="shared" ref="E3:E5" si="0">C3/B3</f>
        <v>0.13636363636363635</v>
      </c>
    </row>
    <row r="4" spans="1:5">
      <c r="A4" s="17" t="s">
        <v>550</v>
      </c>
      <c r="B4" s="20">
        <v>44</v>
      </c>
      <c r="C4" s="19">
        <v>14</v>
      </c>
      <c r="D4" s="20" t="e">
        <f>_xlfn.XLOOKUP(A4,Visitas_Operaciones!#REF!,Visitas_Operaciones!#REF!)</f>
        <v>#REF!</v>
      </c>
      <c r="E4" s="22">
        <f t="shared" si="0"/>
        <v>0.31818181818181818</v>
      </c>
    </row>
    <row r="5" spans="1:5">
      <c r="A5" s="17" t="s">
        <v>542</v>
      </c>
      <c r="B5" s="20">
        <v>44</v>
      </c>
      <c r="C5" s="19">
        <v>11</v>
      </c>
      <c r="D5" s="20" t="e">
        <f>_xlfn.XLOOKUP(A5,Visitas_Operaciones!#REF!,Visitas_Operaciones!#REF!)</f>
        <v>#REF!</v>
      </c>
      <c r="E5" s="22">
        <f t="shared" si="0"/>
        <v>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5" t="s">
        <v>610</v>
      </c>
      <c r="C1" s="15" t="s">
        <v>611</v>
      </c>
      <c r="D1" s="15" t="s">
        <v>612</v>
      </c>
    </row>
    <row r="2" spans="1:4">
      <c r="A2" t="s">
        <v>613</v>
      </c>
      <c r="B2" s="15">
        <v>33</v>
      </c>
      <c r="C2" s="15">
        <v>26</v>
      </c>
      <c r="D2" s="15">
        <v>2</v>
      </c>
    </row>
    <row r="3" spans="1:4">
      <c r="A3" t="s">
        <v>543</v>
      </c>
      <c r="B3" s="15">
        <v>10</v>
      </c>
      <c r="C3" s="15">
        <v>8</v>
      </c>
      <c r="D3" s="15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603</v>
      </c>
      <c r="B1" s="7" t="s">
        <v>6</v>
      </c>
      <c r="C1" s="7" t="s">
        <v>614</v>
      </c>
      <c r="D1" s="7" t="s">
        <v>615</v>
      </c>
      <c r="E1" s="7" t="s">
        <v>616</v>
      </c>
      <c r="F1" s="7" t="s">
        <v>617</v>
      </c>
      <c r="G1" s="7" t="s">
        <v>618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619</v>
      </c>
      <c r="E2" s="5" t="s">
        <v>620</v>
      </c>
      <c r="F2" s="6" t="s">
        <v>621</v>
      </c>
      <c r="G2" s="6" t="s">
        <v>622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623</v>
      </c>
      <c r="E3" s="4" t="s">
        <v>624</v>
      </c>
      <c r="F3" s="3" t="s">
        <v>625</v>
      </c>
      <c r="G3" s="3" t="s">
        <v>626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627</v>
      </c>
      <c r="E4" s="5" t="s">
        <v>624</v>
      </c>
      <c r="F4" s="6" t="s">
        <v>628</v>
      </c>
      <c r="G4" s="6" t="s">
        <v>626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629</v>
      </c>
      <c r="E5" s="4" t="s">
        <v>630</v>
      </c>
      <c r="F5" s="3" t="s">
        <v>631</v>
      </c>
      <c r="G5" s="3" t="s">
        <v>632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633</v>
      </c>
      <c r="E6" s="5" t="s">
        <v>634</v>
      </c>
      <c r="F6" s="6" t="s">
        <v>635</v>
      </c>
      <c r="G6" s="6" t="s">
        <v>632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636</v>
      </c>
      <c r="E7" s="4" t="s">
        <v>630</v>
      </c>
      <c r="F7" s="3" t="s">
        <v>637</v>
      </c>
      <c r="G7" s="3" t="s">
        <v>622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638</v>
      </c>
      <c r="E8" s="5" t="s">
        <v>624</v>
      </c>
      <c r="F8" s="6" t="s">
        <v>639</v>
      </c>
      <c r="G8" s="6" t="s">
        <v>626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640</v>
      </c>
      <c r="E9" s="4" t="s">
        <v>624</v>
      </c>
      <c r="F9" s="3" t="s">
        <v>641</v>
      </c>
      <c r="G9" s="3" t="s">
        <v>626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642</v>
      </c>
      <c r="E10" s="5" t="s">
        <v>624</v>
      </c>
      <c r="F10" s="6" t="s">
        <v>643</v>
      </c>
      <c r="G10" s="6" t="s">
        <v>626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644</v>
      </c>
      <c r="E11" s="4" t="s">
        <v>645</v>
      </c>
      <c r="F11" s="3" t="s">
        <v>646</v>
      </c>
      <c r="G11" s="3" t="s">
        <v>622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647</v>
      </c>
      <c r="E12" s="5" t="s">
        <v>630</v>
      </c>
      <c r="F12" s="6" t="s">
        <v>648</v>
      </c>
      <c r="G12" s="6" t="s">
        <v>622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649</v>
      </c>
      <c r="E13" s="4" t="s">
        <v>624</v>
      </c>
      <c r="F13" s="3" t="s">
        <v>650</v>
      </c>
      <c r="G13" s="3" t="s">
        <v>626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651</v>
      </c>
      <c r="E14" s="5" t="s">
        <v>624</v>
      </c>
      <c r="F14" s="6" t="s">
        <v>652</v>
      </c>
      <c r="G14" s="6" t="s">
        <v>626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653</v>
      </c>
      <c r="E15" s="4" t="s">
        <v>624</v>
      </c>
      <c r="F15" s="3" t="s">
        <v>654</v>
      </c>
      <c r="G15" s="3" t="s">
        <v>626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655</v>
      </c>
      <c r="E16" s="5" t="s">
        <v>624</v>
      </c>
      <c r="F16" s="6" t="s">
        <v>656</v>
      </c>
      <c r="G16" s="6" t="s">
        <v>626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657</v>
      </c>
      <c r="E17" s="4" t="s">
        <v>624</v>
      </c>
      <c r="F17" s="3" t="s">
        <v>658</v>
      </c>
      <c r="G17" s="3" t="s">
        <v>622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659</v>
      </c>
      <c r="E18" s="5" t="s">
        <v>630</v>
      </c>
      <c r="F18" s="6" t="s">
        <v>660</v>
      </c>
      <c r="G18" s="6" t="s">
        <v>622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661</v>
      </c>
      <c r="E19" s="4" t="s">
        <v>630</v>
      </c>
      <c r="F19" s="3" t="s">
        <v>621</v>
      </c>
      <c r="G19" s="3" t="s">
        <v>622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662</v>
      </c>
      <c r="E20" s="5" t="s">
        <v>624</v>
      </c>
      <c r="F20" s="6" t="s">
        <v>625</v>
      </c>
      <c r="G20" s="6" t="s">
        <v>626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663</v>
      </c>
      <c r="E21" s="4" t="s">
        <v>624</v>
      </c>
      <c r="F21" s="3" t="s">
        <v>628</v>
      </c>
      <c r="G21" s="3" t="s">
        <v>626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664</v>
      </c>
      <c r="E22" s="5" t="s">
        <v>630</v>
      </c>
      <c r="F22" s="6" t="s">
        <v>631</v>
      </c>
      <c r="G22" s="6" t="s">
        <v>632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665</v>
      </c>
      <c r="E23" s="4" t="s">
        <v>634</v>
      </c>
      <c r="F23" s="3" t="s">
        <v>635</v>
      </c>
      <c r="G23" s="3" t="s">
        <v>632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666</v>
      </c>
      <c r="E24" s="5" t="s">
        <v>634</v>
      </c>
      <c r="F24" s="6" t="s">
        <v>637</v>
      </c>
      <c r="G24" s="6" t="s">
        <v>622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667</v>
      </c>
      <c r="E25" s="4" t="s">
        <v>624</v>
      </c>
      <c r="F25" s="3" t="s">
        <v>668</v>
      </c>
      <c r="G25" s="3" t="s">
        <v>626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669</v>
      </c>
      <c r="E26" s="5" t="s">
        <v>624</v>
      </c>
      <c r="F26" s="6" t="s">
        <v>641</v>
      </c>
      <c r="G26" s="6" t="s">
        <v>626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670</v>
      </c>
      <c r="E27" s="4" t="s">
        <v>624</v>
      </c>
      <c r="F27" s="3" t="s">
        <v>671</v>
      </c>
      <c r="G27" s="3" t="s">
        <v>626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672</v>
      </c>
      <c r="E28" s="5" t="s">
        <v>624</v>
      </c>
      <c r="F28" s="6" t="s">
        <v>673</v>
      </c>
      <c r="G28" s="6" t="s">
        <v>626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674</v>
      </c>
      <c r="E29" s="4" t="s">
        <v>630</v>
      </c>
      <c r="F29" s="3" t="s">
        <v>675</v>
      </c>
      <c r="G29" s="3" t="s">
        <v>676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677</v>
      </c>
      <c r="E30" s="5" t="s">
        <v>624</v>
      </c>
      <c r="F30" s="6" t="s">
        <v>646</v>
      </c>
      <c r="G30" s="6" t="s">
        <v>622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678</v>
      </c>
      <c r="E31" s="4" t="s">
        <v>634</v>
      </c>
      <c r="F31" s="3" t="s">
        <v>648</v>
      </c>
      <c r="G31" s="3" t="s">
        <v>622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679</v>
      </c>
      <c r="E32" s="5" t="s">
        <v>624</v>
      </c>
      <c r="F32" s="6" t="s">
        <v>650</v>
      </c>
      <c r="G32" s="6" t="s">
        <v>626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680</v>
      </c>
      <c r="E33" s="4" t="s">
        <v>624</v>
      </c>
      <c r="F33" s="3" t="s">
        <v>652</v>
      </c>
      <c r="G33" s="3" t="s">
        <v>626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681</v>
      </c>
      <c r="E34" s="5" t="s">
        <v>624</v>
      </c>
      <c r="F34" s="6" t="s">
        <v>654</v>
      </c>
      <c r="G34" s="6" t="s">
        <v>626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682</v>
      </c>
      <c r="E35" s="4" t="s">
        <v>624</v>
      </c>
      <c r="F35" s="3" t="s">
        <v>656</v>
      </c>
      <c r="G35" s="3" t="s">
        <v>626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683</v>
      </c>
      <c r="E36" s="5" t="s">
        <v>684</v>
      </c>
      <c r="F36" s="6" t="s">
        <v>658</v>
      </c>
      <c r="G36" s="6" t="s">
        <v>622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685</v>
      </c>
      <c r="E37" s="4" t="s">
        <v>634</v>
      </c>
      <c r="F37" s="3" t="s">
        <v>660</v>
      </c>
      <c r="G37" s="3" t="s">
        <v>622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GeometryCache xmlns="http://schemas.esri.com/review/1.0" id="cache">31,139,8,0,0,0,0,0,0,3,203,43,205,201,1,0,79,252,203,37,4,0,0,0</GeometryCache>
</file>

<file path=customXml/itemProps1.xml><?xml version="1.0" encoding="utf-8"?>
<ds:datastoreItem xmlns:ds="http://schemas.openxmlformats.org/officeDocument/2006/customXml" ds:itemID="{ADDDAECE-5EA0-4051-86F3-0B57C126BC49}"/>
</file>

<file path=customXml/itemProps2.xml><?xml version="1.0" encoding="utf-8"?>
<ds:datastoreItem xmlns:ds="http://schemas.openxmlformats.org/officeDocument/2006/customXml" ds:itemID="{40F3D427-5BDE-47CB-9FED-B3E563193BA5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2026-07-24T20:51:12Z</dcterms:modified>
  <cp:category/>
  <cp:contentStatus/>
</cp:coreProperties>
</file>