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F7356F3A-A658-4BBC-B1B8-5D4BFA4495F6}" xr6:coauthVersionLast="47" xr6:coauthVersionMax="47" xr10:uidLastSave="{00000000-0000-0000-0000-000000000000}"/>
  <bookViews>
    <workbookView xWindow="-110" yWindow="-110" windowWidth="19420" windowHeight="11500" firstSheet="5" activeTab="4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Visitas_Operaciones" sheetId="2" r:id="rId5"/>
    <sheet name="JEFE REGIONAL" sheetId="18" r:id="rId6"/>
    <sheet name="Puntos potenciales Ope" sheetId="16" r:id="rId7"/>
    <sheet name="Metas_Generales" sheetId="9" state="hidden" r:id="rId8"/>
    <sheet name="Hoja1" sheetId="8" state="hidden" r:id="rId9"/>
    <sheet name="Hoja2" sheetId="13" state="hidden" r:id="rId10"/>
    <sheet name="Festivos Colombia 2025-2026" sheetId="5" state="hidden" r:id="rId11"/>
  </sheets>
  <definedNames>
    <definedName name="_xlnm._FilterDatabase" localSheetId="0" hidden="1">Hoja4!$A$22:$B$37</definedName>
    <definedName name="_xlnm._FilterDatabase" localSheetId="6" hidden="1">'Puntos potenciales Ope'!$A$1:$B$15</definedName>
    <definedName name="_xlnm._FilterDatabase" localSheetId="4" hidden="1">Visitas_Operaciones!$A$1:$AN$186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716" r:id="rId12"/>
    <pivotCache cacheId="717" r:id="rId13"/>
    <pivotCache cacheId="718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7" i="2" l="1"/>
  <c r="Y187" i="2" s="1"/>
  <c r="W187" i="2"/>
  <c r="X187" i="2"/>
  <c r="V188" i="2"/>
  <c r="Y188" i="2" s="1"/>
  <c r="W188" i="2"/>
  <c r="X188" i="2"/>
  <c r="V189" i="2"/>
  <c r="Y189" i="2" s="1"/>
  <c r="W189" i="2"/>
  <c r="X189" i="2"/>
  <c r="V190" i="2"/>
  <c r="Y190" i="2" s="1"/>
  <c r="W190" i="2"/>
  <c r="X190" i="2"/>
  <c r="V191" i="2"/>
  <c r="Y191" i="2" s="1"/>
  <c r="W191" i="2"/>
  <c r="X191" i="2"/>
  <c r="V175" i="2" l="1"/>
  <c r="W175" i="2"/>
  <c r="X175" i="2"/>
  <c r="V176" i="2"/>
  <c r="W176" i="2"/>
  <c r="X176" i="2"/>
  <c r="V177" i="2"/>
  <c r="W177" i="2"/>
  <c r="X177" i="2"/>
  <c r="V178" i="2"/>
  <c r="W178" i="2"/>
  <c r="X178" i="2"/>
  <c r="V179" i="2"/>
  <c r="W179" i="2"/>
  <c r="X179" i="2"/>
  <c r="V180" i="2"/>
  <c r="W180" i="2"/>
  <c r="X180" i="2"/>
  <c r="V181" i="2"/>
  <c r="W181" i="2"/>
  <c r="X181" i="2"/>
  <c r="V182" i="2"/>
  <c r="W182" i="2"/>
  <c r="X182" i="2"/>
  <c r="V183" i="2"/>
  <c r="W183" i="2"/>
  <c r="X183" i="2"/>
  <c r="V184" i="2"/>
  <c r="W184" i="2"/>
  <c r="X184" i="2"/>
  <c r="V185" i="2"/>
  <c r="W185" i="2"/>
  <c r="X185" i="2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Y184" i="2" l="1"/>
  <c r="Y183" i="2"/>
  <c r="Y179" i="2"/>
  <c r="Y175" i="2"/>
  <c r="Y186" i="2"/>
  <c r="Y178" i="2"/>
  <c r="Y171" i="2"/>
  <c r="Y181" i="2"/>
  <c r="Y180" i="2"/>
  <c r="Y177" i="2"/>
  <c r="Y176" i="2"/>
  <c r="Y182" i="2"/>
  <c r="Y185" i="2"/>
  <c r="Y170" i="2"/>
  <c r="Y172" i="2"/>
  <c r="Y174" i="2"/>
  <c r="Y173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6" i="2" l="1"/>
  <c r="Y169" i="2"/>
  <c r="Y168" i="2"/>
  <c r="Y164" i="2"/>
  <c r="Y167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A2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Y106" i="2" l="1"/>
  <c r="C34" i="16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V4" i="8"/>
  <c r="V3" i="8"/>
  <c r="V2" i="8"/>
  <c r="V1" i="8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<sst xmlns="http://schemas.openxmlformats.org/spreadsheetml/2006/main" count="3875" uniqueCount="1355">
  <si>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</si>
  <si>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</si>
  <si>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</si>
  <si>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</si>
  <si>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</si>
  <si>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</si>
  <si>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</si>
  <si>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</si>
  <si>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</si>
  <si>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</si>
  <si>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</si>
  <si>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</si>
  <si>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</si>
  <si>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</si>
  <si>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</si>
  <si>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</si>
  <si>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</si>
  <si>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</si>
  <si>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</si>
  <si>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</si>
  <si>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</si>
  <si>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</si>
  <si>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</si>
  <si>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</si>
  <si>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</si>
  <si>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</si>
  <si>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</si>
  <si>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</si>
  <si>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</si>
  <si>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</si>
  <si>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</si>
  <si>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</si>
  <si>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</si>
  <si>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</si>
  <si>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</si>
  <si>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</si>
  <si>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</si>
  <si>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</si>
  <si>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</si>
  <si>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</si>
  <si>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</si>
  <si>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</si>
  <si>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</si>
  <si>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</si>
  <si>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</si>
  <si>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</si>
  <si>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</si>
  <si>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</si>
  <si>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</si>
  <si>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</si>
  <si>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</si>
  <si>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</si>
  <si>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</si>
  <si>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</si>
  <si>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</si>
  <si>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</si>
  <si>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</si>
  <si>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</si>
  <si>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</si>
  <si>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</si>
  <si>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</si>
  <si>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</si>
  <si>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</si>
  <si>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</si>
  <si>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</si>
  <si>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</si>
  <si>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</si>
  <si>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</si>
  <si>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</si>
  <si>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</si>
  <si>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</si>
  <si>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</si>
  <si>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</si>
  <si>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</si>
  <si>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</si>
  <si>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</si>
  <si>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</si>
  <si>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</si>
  <si>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</si>
  <si>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</si>
  <si>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</si>
  <si>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</si>
  <si>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</si>
  <si>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</si>
  <si>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</si>
  <si>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</si>
  <si>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</si>
  <si>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</si>
  <si>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</si>
  <si>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</si>
  <si>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</si>
  <si>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</si>
  <si>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</si>
  <si>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</si>
  <si>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</si>
  <si>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</si>
  <si>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</si>
  <si>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</si>
  <si>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</si>
  <si>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</si>
  <si>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</si>
  <si>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</si>
  <si>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</si>
  <si>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</si>
  <si>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</si>
  <si>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</si>
  <si>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</si>
  <si>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</si>
  <si>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</si>
  <si>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</si>
  <si>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</si>
  <si>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</si>
  <si>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</si>
  <si>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</si>
  <si>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</si>
  <si>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</si>
  <si>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</si>
  <si>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</si>
  <si>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</si>
  <si>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</si>
  <si>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</si>
  <si>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</si>
  <si>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</si>
  <si>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</si>
  <si>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</si>
  <si>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</si>
  <si>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</si>
  <si>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</si>
  <si>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</si>
  <si>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</si>
  <si>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</si>
  <si>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</si>
  <si>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</si>
  <si>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</si>
  <si>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</si>
  <si>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</si>
  <si>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</si>
  <si>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</si>
  <si>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</si>
  <si>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</si>
  <si>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</si>
  <si>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</si>
  <si>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</si>
  <si>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</si>
  <si>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</si>
  <si>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</si>
  <si>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</si>
  <si>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</si>
  <si>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</si>
  <si>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</si>
  <si>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</si>
  <si>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</si>
  <si>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</si>
  <si>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</si>
  <si>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</si>
  <si>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</si>
  <si>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</si>
  <si>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</si>
  <si>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</si>
  <si>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</si>
  <si>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</si>
  <si>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</si>
  <si>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</si>
  <si>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</si>
  <si>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</si>
  <si>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</si>
  <si>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</si>
  <si>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</si>
  <si>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</si>
  <si>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</si>
  <si>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</si>
  <si>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</si>
  <si>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</si>
  <si>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</si>
  <si>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</si>
  <si>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</si>
  <si>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</si>
  <si>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</si>
  <si>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</si>
  <si>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</si>
  <si>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</si>
  <si>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</si>
  <si>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</si>
  <si>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</si>
  <si>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</si>
  <si>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</si>
  <si>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</si>
  <si>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</si>
  <si>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</si>
  <si>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</si>
  <si>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</si>
  <si>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</si>
  <si>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</si>
  <si>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</si>
  <si>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</si>
  <si>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</si>
  <si>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</si>
  <si>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</si>
  <si>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</si>
  <si>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</si>
  <si>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</si>
  <si>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</si>
  <si>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</si>
  <si>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</si>
  <si>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</si>
  <si>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</si>
  <si>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</si>
  <si>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</si>
  <si>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</si>
  <si>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</si>
  <si>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</si>
  <si>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</si>
  <si>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</si>
  <si>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</si>
  <si>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</si>
  <si>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</si>
  <si>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</si>
  <si>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</si>
  <si>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</si>
  <si>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</si>
  <si>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</si>
  <si>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</si>
  <si>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</si>
  <si>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</si>
  <si>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</si>
  <si>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</si>
  <si>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</si>
  <si>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</si>
  <si>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</si>
  <si>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</si>
  <si>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</si>
  <si>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</si>
  <si>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</si>
  <si>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</si>
  <si>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</si>
  <si>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</si>
  <si>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</si>
  <si>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</si>
  <si>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</si>
  <si>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</si>
  <si>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</si>
  <si>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</si>
  <si>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</si>
  <si>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</si>
  <si>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</si>
  <si>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</si>
  <si>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</si>
  <si>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</si>
  <si>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</si>
  <si>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</si>
  <si>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</si>
  <si>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</si>
  <si>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</si>
  <si>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</si>
  <si>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</si>
  <si>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</si>
  <si>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</si>
  <si>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</si>
  <si>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</si>
  <si>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</si>
  <si>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</si>
  <si>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</si>
  <si>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</si>
  <si>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</si>
  <si>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</si>
  <si>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</si>
  <si>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</si>
  <si>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</si>
  <si>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</si>
  <si>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</si>
  <si>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</si>
  <si>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</si>
  <si>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</si>
  <si>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</si>
  <si>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</si>
  <si>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</si>
  <si>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</si>
  <si>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</si>
  <si>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</si>
  <si>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</si>
  <si>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</si>
  <si>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</si>
  <si>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</si>
  <si>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</si>
  <si>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</si>
  <si>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</si>
  <si>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</si>
  <si>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</si>
  <si>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</si>
  <si>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</si>
  <si>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</si>
  <si>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</si>
  <si>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</si>
  <si>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</si>
  <si>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</si>
  <si>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</si>
  <si>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</si>
  <si>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</si>
  <si>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</si>
  <si>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</si>
  <si>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</si>
  <si>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</si>
  <si>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</si>
  <si>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</si>
  <si>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</si>
  <si>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</si>
  <si>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</si>
  <si>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</si>
  <si>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</si>
  <si>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</si>
  <si>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</si>
  <si>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</si>
  <si>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</si>
  <si>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</si>
  <si>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</si>
  <si>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</si>
  <si>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</si>
  <si>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</si>
  <si>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</si>
  <si>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</si>
  <si>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</si>
  <si>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</si>
  <si>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</si>
  <si>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</si>
  <si>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</si>
  <si>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</si>
  <si>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</si>
  <si>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</si>
  <si>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</si>
  <si>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</si>
  <si>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</si>
  <si>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</si>
  <si>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</si>
  <si>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</si>
  <si>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</si>
  <si>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</si>
  <si>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</si>
  <si>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</si>
  <si>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</si>
  <si>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</si>
  <si>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</si>
  <si>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</si>
  <si>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</si>
  <si>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</si>
  <si>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</si>
  <si>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</si>
  <si>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</si>
  <si>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</si>
  <si>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</si>
  <si>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</si>
  <si>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</si>
  <si>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</si>
  <si>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</si>
  <si>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</si>
  <si>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</si>
  <si>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</si>
  <si>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</si>
  <si>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</si>
  <si>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</si>
  <si>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</si>
  <si>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</si>
  <si>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</si>
  <si>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</si>
  <si>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</si>
  <si>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</si>
  <si>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</si>
  <si>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</si>
  <si>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</si>
  <si>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</si>
  <si>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</si>
  <si>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</si>
  <si>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</si>
  <si>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</si>
  <si>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</si>
  <si>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</si>
  <si>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</si>
  <si>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</si>
  <si>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</si>
  <si>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</si>
  <si>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</si>
  <si>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</si>
  <si>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</si>
  <si>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</si>
  <si>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</si>
  <si>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</si>
  <si>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</si>
  <si>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</si>
  <si>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</si>
  <si>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</si>
  <si>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</si>
  <si>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</si>
  <si>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</si>
  <si>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ya está en proceso para ser presentado al comité, el dia 12 de agosto se hara visita de arquitectura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</si>
  <si>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</si>
  <si>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</si>
  <si>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</si>
  <si>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</si>
  <si>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</si>
  <si>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</si>
  <si>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</si>
  <si>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</si>
  <si>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</si>
  <si>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</si>
  <si>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</si>
  <si>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</si>
  <si>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</si>
  <si>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</si>
  <si>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</si>
  <si>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</si>
  <si>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</si>
  <si>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</si>
  <si>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</si>
  <si>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</si>
  <si>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</si>
  <si>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</si>
  <si>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</si>
  <si>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</si>
  <si>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</si>
  <si>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</si>
  <si>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</si>
  <si>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</si>
  <si>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</si>
  <si>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</si>
  <si>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</si>
  <si>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</si>
  <si>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</si>
  <si>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</si>
  <si>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</si>
  <si>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</si>
  <si>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</si>
  <si>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</si>
  <si>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</si>
  <si>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</si>
  <si>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</si>
  <si>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</si>
  <si>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</si>
  <si>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</si>
  <si>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</si>
  <si>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</si>
  <si>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</si>
  <si>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</si>
  <si>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</si>
  <si>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</si>
  <si>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</si>
  <si>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</si>
  <si>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</si>
  <si>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</si>
  <si>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</si>
  <si>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</si>
  <si>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</si>
  <si>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</si>
  <si>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</si>
  <si>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</si>
  <si>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</si>
  <si>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</si>
  <si>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</si>
  <si>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</si>
  <si>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</si>
  <si>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</si>
  <si>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</si>
  <si>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</si>
  <si>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</si>
  <si>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</si>
  <si>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</si>
  <si>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</si>
  <si>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</si>
  <si>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</si>
  <si>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</si>
  <si>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</si>
  <si>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</si>
  <si>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</si>
  <si>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</si>
  <si>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</si>
  <si>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</si>
  <si>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</si>
  <si>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</si>
  <si>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</si>
  <si>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</si>
  <si>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</si>
  <si>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</si>
  <si>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</si>
  <si>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</si>
  <si>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</si>
  <si>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</si>
  <si>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</si>
  <si>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</si>
  <si>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</si>
  <si>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</si>
  <si>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</si>
  <si>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</si>
  <si>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</si>
  <si>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</si>
  <si>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</si>
  <si>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</si>
  <si>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</si>
  <si>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</si>
  <si>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</si>
  <si>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</si>
  <si>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</si>
  <si>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</si>
  <si>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</si>
  <si>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</si>
  <si>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</si>
  <si>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</si>
  <si>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</si>
  <si>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</si>
  <si>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</si>
  <si>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</si>
  <si>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</si>
  <si>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</si>
  <si>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</si>
  <si>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</si>
  <si>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</si>
  <si>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</si>
  <si>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</si>
  <si>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</si>
  <si>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</si>
  <si>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</si>
  <si>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</si>
  <si>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</si>
  <si>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</si>
  <si>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</si>
  <si>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</si>
  <si>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</si>
  <si>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</si>
  <si>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</si>
  <si>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</si>
  <si>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</si>
  <si>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</si>
  <si>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</si>
  <si>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</si>
  <si>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</si>
  <si>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</si>
  <si>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</si>
  <si>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</si>
  <si>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</si>
  <si>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</si>
  <si>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</si>
  <si>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</si>
  <si>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</si>
  <si>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</si>
  <si>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</si>
  <si>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</si>
  <si>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</si>
  <si>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</si>
  <si>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</si>
  <si>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</si>
  <si>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</si>
  <si>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</si>
  <si>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</si>
  <si>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</si>
  <si>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</si>
  <si>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</si>
  <si>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</si>
  <si>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</si>
  <si>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</si>
  <si>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</si>
  <si>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</si>
  <si>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</si>
  <si>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</si>
  <si>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</si>
  <si>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</si>
  <si>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</si>
  <si>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</si>
  <si>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</si>
  <si>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</si>
  <si>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</si>
  <si>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</si>
  <si>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</si>
  <si>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</si>
  <si>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</si>
  <si>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</si>
  <si>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</si>
  <si>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</si>
  <si>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</si>
  <si>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</si>
  <si>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</si>
  <si>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</si>
  <si>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</si>
  <si>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</si>
  <si>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</si>
  <si>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</si>
  <si>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</si>
  <si>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</si>
  <si>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</si>
  <si>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</si>
  <si>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</si>
  <si>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</si>
  <si>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</si>
  <si>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</si>
  <si>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</si>
  <si>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</si>
  <si>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</si>
  <si>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</si>
  <si>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</si>
  <si>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</si>
  <si>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</si>
  <si>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</si>
  <si>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</si>
  <si>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</si>
  <si>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</si>
  <si>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</si>
  <si>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</si>
  <si>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</si>
  <si>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</si>
  <si>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</si>
  <si>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</si>
  <si>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</si>
  <si>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</si>
  <si>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</si>
  <si>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</si>
  <si>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</si>
  <si>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</si>
  <si>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</si>
  <si>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</si>
  <si>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</si>
  <si>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</si>
  <si>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</si>
  <si>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</si>
  <si>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</si>
  <si>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</si>
  <si>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</si>
  <si>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</si>
  <si>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</si>
  <si>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</si>
  <si>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</si>
  <si>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</si>
  <si>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</si>
  <si>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</si>
  <si>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</si>
  <si>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</si>
  <si>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</si>
  <si>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</si>
  <si>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</si>
  <si>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</si>
  <si>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</si>
  <si>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</si>
  <si>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</si>
  <si>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</si>
  <si>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</si>
  <si>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</si>
  <si>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</si>
  <si>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</si>
  <si>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</si>
  <si>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</si>
  <si>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</si>
  <si>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</si>
  <si>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</si>
  <si>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</si>
  <si>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</si>
  <si>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</si>
  <si>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</si>
  <si>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</si>
  <si>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</si>
  <si>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</si>
  <si>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</si>
  <si>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</si>
  <si>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</si>
  <si>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</si>
  <si>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</si>
  <si>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</si>
  <si>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</si>
  <si>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</si>
  <si>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</si>
  <si>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</si>
  <si>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</si>
  <si>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</si>
  <si>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</si>
  <si>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</si>
  <si>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</si>
  <si>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</si>
  <si>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</si>
  <si>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</si>
  <si>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</si>
  <si>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</si>
  <si>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</si>
  <si>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</si>
  <si>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</si>
  <si>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</si>
  <si>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</si>
  <si>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</si>
  <si>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</si>
  <si>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</si>
  <si>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</si>
  <si>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</si>
  <si>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</si>
  <si>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</si>
  <si>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</si>
  <si>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</si>
  <si>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</si>
  <si>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</si>
  <si>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</si>
  <si>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</si>
  <si>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</si>
  <si>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</si>
  <si>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</si>
  <si>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</si>
  <si>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</si>
  <si>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</si>
  <si>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</si>
  <si>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</si>
  <si>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</si>
  <si>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</si>
  <si>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</si>
  <si>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</si>
  <si>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</si>
  <si>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</si>
  <si>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</si>
  <si>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</si>
  <si>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</si>
  <si>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</si>
  <si>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</si>
  <si>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</si>
  <si>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</si>
  <si>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</si>
  <si>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</si>
  <si>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</si>
  <si>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</si>
  <si>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</si>
  <si>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</si>
  <si>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</si>
  <si>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</si>
  <si>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</si>
  <si>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</si>
  <si>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</si>
  <si>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</si>
  <si>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</si>
  <si>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</si>
  <si>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</si>
  <si>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</si>
  <si>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</si>
  <si>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</si>
  <si>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</si>
  <si>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</si>
  <si>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</si>
  <si>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</si>
  <si>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</si>
  <si>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</si>
  <si>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</si>
  <si>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</si>
  <si>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</si>
  <si>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</si>
  <si>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</si>
  <si>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</si>
  <si>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</si>
  <si>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</si>
  <si>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</si>
  <si>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</si>
  <si>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</si>
  <si>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</si>
  <si>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</si>
  <si>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</si>
  <si>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</si>
  <si>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</si>
  <si>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</si>
  <si>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</si>
  <si>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</si>
  <si>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</si>
  <si>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</si>
  <si>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</si>
  <si>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</si>
  <si>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</si>
  <si>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</si>
  <si>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</si>
  <si>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</si>
  <si>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</si>
  <si>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</si>
  <si>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</si>
  <si>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</si>
  <si>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</si>
  <si>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</si>
  <si>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</si>
  <si>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</si>
  <si>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</si>
  <si>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</si>
  <si>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</si>
  <si>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</si>
  <si>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</si>
  <si>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</si>
  <si>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</si>
  <si>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</si>
  <si>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</si>
  <si>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</si>
  <si>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</si>
  <si>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</si>
  <si>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</si>
  <si>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</si>
  <si>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</si>
  <si>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</si>
  <si>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</si>
  <si>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</si>
  <si>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</si>
  <si>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</si>
  <si>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</si>
  <si>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</si>
  <si>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</si>
  <si>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</si>
  <si>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</si>
  <si>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</si>
  <si>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</si>
  <si>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</si>
  <si>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</si>
  <si>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</si>
  <si>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</si>
  <si>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</si>
  <si>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</si>
  <si>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</si>
  <si>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</si>
  <si>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</si>
  <si>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</si>
  <si>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</si>
  <si>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</si>
  <si>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</si>
  <si>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</si>
  <si>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</si>
  <si>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</si>
  <si>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</si>
  <si>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</si>
  <si>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</si>
  <si>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</si>
  <si>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</si>
  <si>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</si>
  <si>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</si>
  <si>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</si>
  <si>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</si>
  <si>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</si>
  <si>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</si>
  <si>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</si>
  <si>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</si>
  <si>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</si>
  <si>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</si>
  <si>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</si>
  <si>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</si>
  <si>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</si>
  <si>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</si>
  <si>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</si>
  <si>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</si>
  <si>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</si>
  <si>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</si>
  <si>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</si>
  <si>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</si>
  <si>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</si>
  <si>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</si>
  <si>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</si>
  <si>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</si>
  <si>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</si>
  <si>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</si>
  <si>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</si>
  <si>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</si>
  <si>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</si>
  <si>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</si>
  <si>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Centro Sur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</si>
  <si>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</si>
  <si>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</si>
  <si>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</si>
  <si>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</si>
  <si>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</si>
  <si>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</si>
  <si>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</si>
  <si>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</si>
  <si>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</si>
  <si>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</si>
  <si>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</si>
  <si>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</si>
  <si>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</si>
  <si>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</si>
  <si>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</si>
  <si>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</si>
  <si>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</si>
  <si>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</si>
  <si>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</si>
  <si>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</si>
  <si>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</si>
  <si>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</si>
  <si>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</si>
  <si>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</si>
  <si>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</si>
  <si>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</si>
  <si>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</si>
  <si>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</si>
  <si>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</si>
  <si>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</si>
  <si>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</si>
  <si>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</si>
  <si>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</si>
  <si>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</si>
  <si>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</si>
  <si>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</si>
  <si>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</si>
  <si>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</si>
  <si>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</si>
  <si>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</si>
  <si>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</si>
  <si>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</si>
  <si>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</si>
  <si>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</si>
  <si>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</si>
  <si>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</si>
  <si>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</si>
  <si>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</si>
  <si>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</si>
  <si>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</si>
  <si>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</si>
  <si>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</si>
  <si>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</si>
  <si>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</si>
  <si>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</si>
  <si>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</si>
  <si>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</si>
  <si>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</si>
  <si>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</si>
  <si>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</si>
  <si>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</si>
  <si>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</si>
  <si>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</si>
  <si>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</si>
  <si>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</si>
  <si>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</si>
  <si>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</si>
  <si>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</si>
  <si>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</si>
  <si>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</si>
  <si>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</si>
  <si>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</si>
  <si>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</si>
  <si>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</si>
  <si>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</si>
  <si>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</si>
  <si>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</si>
  <si>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</si>
  <si>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</si>
  <si>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</si>
  <si>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</si>
  <si>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</si>
  <si>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</si>
  <si>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</si>
  <si>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</si>
  <si>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</si>
  <si>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</si>
  <si>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</si>
  <si>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</si>
  <si>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</si>
  <si>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</si>
  <si>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</si>
  <si>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</si>
  <si>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</si>
  <si>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</si>
  <si>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</si>
  <si>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</si>
  <si>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</si>
  <si>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</si>
  <si>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</si>
  <si>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</si>
  <si>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</si>
  <si>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</si>
  <si>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</si>
  <si>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</si>
  <si>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</si>
  <si>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</si>
  <si>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</si>
  <si>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</si>
  <si>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</si>
  <si>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</si>
  <si>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</si>
  <si>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</si>
  <si>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</si>
  <si>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</si>
  <si>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</si>
  <si>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</si>
  <si>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</si>
  <si>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</si>
  <si>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</si>
  <si>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</si>
  <si>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</si>
  <si>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</si>
  <si>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</si>
  <si>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</si>
  <si>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</si>
  <si>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</si>
  <si>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</si>
  <si>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</si>
  <si>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</si>
  <si>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</si>
  <si>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</si>
  <si>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</si>
  <si>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</si>
  <si>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</si>
  <si>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</si>
  <si>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</si>
  <si>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</si>
  <si>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</si>
  <si>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</si>
  <si>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</si>
  <si>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</si>
  <si>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</si>
  <si>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</si>
  <si>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</si>
  <si>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</si>
  <si>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</si>
  <si>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</si>
  <si>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</si>
  <si>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</si>
  <si>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</si>
  <si>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</si>
  <si>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Variables de exito</t>
  </si>
  <si>
    <t>Ya se había trabajado el punto bajo el nombre de Monarca, descartado por zona fría, quieren estar en la zona de los bares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</si>
  <si>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</si>
  <si>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</si>
  <si>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</si>
  <si>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</si>
  <si>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</si>
  <si>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</si>
  <si>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</si>
  <si>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</si>
  <si>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</si>
  <si>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</si>
  <si>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</si>
  <si>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</si>
  <si>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</si>
  <si>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</si>
  <si>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</si>
  <si>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</si>
  <si>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</si>
  <si>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</si>
  <si>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</si>
  <si>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</si>
  <si>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</si>
  <si>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</si>
  <si>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</si>
  <si>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</si>
  <si>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</si>
  <si>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</si>
  <si>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</si>
  <si>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</si>
  <si>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</si>
  <si>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</si>
  <si>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</si>
  <si>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</si>
  <si>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</si>
  <si>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</si>
  <si>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</si>
  <si>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</si>
  <si>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</si>
  <si>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</si>
  <si>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</si>
  <si>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</si>
  <si>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</si>
  <si>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</si>
  <si>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</si>
  <si>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</si>
  <si>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</si>
  <si>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</si>
  <si>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</si>
  <si>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</si>
  <si>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</si>
  <si>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</si>
  <si>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</si>
  <si>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</si>
  <si>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</si>
  <si>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</si>
  <si>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</si>
  <si>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</si>
  <si>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</si>
  <si>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</si>
  <si>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</si>
  <si>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</si>
  <si>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</si>
  <si>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Seguridad</t>
  </si>
  <si>
    <t xml:space="preserve">La ubicación esta a media cuadra de san bernardo (alta población de habitantes de calle), por ende seria una tienda de alto riesgo de seguridad 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</si>
  <si>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</si>
  <si>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</si>
  <si>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</si>
  <si>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</si>
  <si>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</si>
  <si>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</si>
  <si>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</si>
  <si>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</si>
  <si>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</si>
  <si>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</si>
  <si>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</si>
  <si>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</si>
  <si>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</si>
  <si>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</si>
  <si>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</si>
  <si>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</si>
  <si>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</si>
  <si>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</si>
  <si>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</si>
  <si>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</si>
  <si>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</si>
  <si>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</si>
  <si>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</si>
  <si>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</si>
  <si>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</si>
  <si>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</si>
  <si>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</si>
  <si>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</si>
  <si>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</si>
  <si>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</si>
  <si>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</si>
  <si>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</si>
  <si>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</si>
  <si>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</si>
  <si>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</si>
  <si>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</si>
  <si>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</si>
  <si>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</si>
  <si>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</si>
  <si>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</si>
  <si>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</si>
  <si>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</si>
  <si>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</si>
  <si>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</si>
  <si>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</si>
  <si>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</si>
  <si>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</si>
  <si>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</si>
  <si>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</si>
  <si>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</si>
  <si>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</si>
  <si>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</si>
  <si>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</si>
  <si>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</si>
  <si>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</si>
  <si>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</si>
  <si>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</si>
  <si>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</si>
  <si>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</si>
  <si>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</si>
  <si>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</si>
  <si>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</si>
  <si>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</si>
  <si>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</si>
  <si>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</si>
  <si>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</si>
  <si>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</si>
  <si>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</si>
  <si>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</si>
  <si>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</si>
  <si>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</si>
  <si>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</si>
  <si>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</si>
  <si>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</si>
  <si>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</si>
  <si>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</si>
  <si>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</si>
  <si>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</si>
  <si>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</si>
  <si>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</si>
  <si>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</si>
  <si>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</si>
  <si>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</si>
  <si>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</si>
  <si>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</si>
  <si>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</si>
  <si>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</si>
  <si>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</si>
  <si>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</si>
  <si>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Oxxo kennedy central 2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</si>
  <si>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</si>
  <si>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</si>
  <si>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</si>
  <si>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</si>
  <si>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</si>
  <si>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</si>
  <si>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</si>
  <si>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</si>
  <si>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</si>
  <si>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</si>
  <si>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</si>
  <si>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</si>
  <si>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</si>
  <si>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</si>
  <si>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</si>
  <si>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</si>
  <si>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</si>
  <si>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</si>
  <si>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</si>
  <si>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</si>
  <si>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</si>
  <si>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</si>
  <si>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</si>
  <si>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</si>
  <si>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</si>
  <si>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</si>
  <si>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</si>
  <si>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</si>
  <si>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</si>
  <si>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</si>
  <si>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 xml:space="preserve">Calazans 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</si>
  <si>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</si>
  <si>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</si>
  <si>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</si>
  <si>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</si>
  <si>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</si>
  <si>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</si>
  <si>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</si>
  <si>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</si>
  <si>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</si>
  <si>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</si>
  <si>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</si>
  <si>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</si>
  <si>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Española</t>
  </si>
  <si>
    <t>Cra 81 a no 81 31</t>
  </si>
  <si>
    <t>https://maps.app.goo.gl/4WxWZMz5tU6aTTccA</t>
  </si>
  <si>
    <t>3104887504 Luis rodriguez</t>
  </si>
  <si>
    <t>Foto: https://oxxo-colombia.oneapp.cl/static/img/Respuesta/64307438/6593193d71011221892f93325a50d20c.jpg</t>
  </si>
  <si>
    <t>Tabora 1</t>
  </si>
  <si>
    <t>Cr 80 no 74 20</t>
  </si>
  <si>
    <t>https://maps.app.goo.gl/92UYhk6eCKG8yKk28</t>
  </si>
  <si>
    <t>Foto: https://oxxo-colombia.oneapp.cl/static/img/Respuesta/64307483/862a29136299129246a3dee4cf93488a.jpg</t>
  </si>
  <si>
    <t>Santa Cecilia</t>
  </si>
  <si>
    <t>Calle 53 # 71 c 02</t>
  </si>
  <si>
    <t>https://maps.app.goo.gl/spk7nJc8XQ86HeJj8</t>
  </si>
  <si>
    <t>3105631574  -  3137220942</t>
  </si>
  <si>
    <t>Foto: https://oxxo-colombia.oneapp.cl/static/img/Respuesta/64298605/front_0_1786378329_15.jpg</t>
  </si>
  <si>
    <t>Democracia</t>
  </si>
  <si>
    <t>Calle 34 n 28 esquina</t>
  </si>
  <si>
    <t>https://maps.app.goo.gl/J5oExsX6bDccpbNe7</t>
  </si>
  <si>
    <t>Guillermo cortes</t>
  </si>
  <si>
    <t>Foto: https://oxxo-colombia.oneapp.cl/static/img/Respuesta/64368046/edfcfb0e9db3d91fba18809ff5eb4ffd.jpg</t>
  </si>
  <si>
    <t>Fundación santafe</t>
  </si>
  <si>
    <t>Cra 7 n 119 54</t>
  </si>
  <si>
    <t>https://maps.app.goo.gl/16o2Ukk3CVWCnp4T7</t>
  </si>
  <si>
    <t>Foto: https://oxxo-colombia.oneapp.cl/static/img/Respuesta/64368179/e9aecc22423524a2247babacea911a95.jpg</t>
  </si>
  <si>
    <t>Yesenia Aritizabal</t>
  </si>
  <si>
    <t>Pedro</t>
  </si>
  <si>
    <t>Norte</t>
  </si>
  <si>
    <t>Juan Pablo</t>
  </si>
  <si>
    <t>Sur</t>
  </si>
  <si>
    <t>Caribe</t>
  </si>
  <si>
    <t>Diego Rodriguez</t>
  </si>
  <si>
    <t xml:space="preserve">Eje Cafetero </t>
  </si>
  <si>
    <t xml:space="preserve">Oriente 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</si>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</sst>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  <xf numFmtId="0" fontId="0" fillId="0" borderId="0" xfId="0" applyAlignment="1">
      <alignment vertical="top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71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7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7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20" Type="http://schemas.openxmlformats.org/officeDocument/2006/relationships/hyperlink" Target="https://maps.app.goo.gl/Fqt5xWrLJWy62G8s6?g_st=iwb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5" Type="http://schemas.openxmlformats.org/officeDocument/2006/relationships/hyperlink" Target="https://maps.app.goo.gl/4WxWZMz5tU6aTTccA" TargetMode="External"/><Relationship Id="rId190" Type="http://schemas.openxmlformats.org/officeDocument/2006/relationships/hyperlink" Target="https://maps.app.goo.gl/7wQSTpfpJztjYpXg8?g_st=ac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96" Type="http://schemas.openxmlformats.org/officeDocument/2006/relationships/hyperlink" Target="https://maps.app.goo.gl/J5oExsX6bDccpbNe7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97" Type="http://schemas.openxmlformats.org/officeDocument/2006/relationships/hyperlink" Target="https://maps.app.goo.gl/16o2Ukk3CVWCnp4T7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50" Type="http://schemas.openxmlformats.org/officeDocument/2006/relationships/hyperlink" Target="https://maps.app.goo.gl/WcJZpZR1WDn3aMew7?g_st=ac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A11" sqref="A11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N191"/>
  <sheetViews>
    <sheetView showGridLines="0" tabSelected="1" zoomScale="59" zoomScaleNormal="71" workbookViewId="0">
      <pane xSplit="11" ySplit="1" topLeftCell="AC187" activePane="bottomRight" state="frozen"/>
      <selection pane="bottomRight" activeCell="A156" sqref="A156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1.4257812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83</v>
      </c>
      <c r="B1" s="30" t="s">
        <v>0</v>
      </c>
      <c r="C1" s="30" t="s">
        <v>84</v>
      </c>
      <c r="D1" s="30" t="s">
        <v>85</v>
      </c>
      <c r="E1" s="30" t="s">
        <v>86</v>
      </c>
      <c r="F1" s="30" t="s">
        <v>87</v>
      </c>
      <c r="G1" s="30" t="s">
        <v>88</v>
      </c>
      <c r="H1" s="30" t="s">
        <v>89</v>
      </c>
      <c r="I1" s="30" t="s">
        <v>90</v>
      </c>
      <c r="J1" s="30" t="s">
        <v>91</v>
      </c>
      <c r="K1" s="30" t="s">
        <v>92</v>
      </c>
      <c r="L1" s="30" t="s">
        <v>93</v>
      </c>
      <c r="M1" s="30" t="s">
        <v>94</v>
      </c>
      <c r="N1" s="30" t="s">
        <v>95</v>
      </c>
      <c r="O1" s="30" t="s">
        <v>96</v>
      </c>
      <c r="P1" s="30" t="s">
        <v>97</v>
      </c>
      <c r="Q1" s="30" t="s">
        <v>98</v>
      </c>
      <c r="R1" s="30" t="s">
        <v>99</v>
      </c>
      <c r="S1" s="30" t="s">
        <v>100</v>
      </c>
      <c r="T1" s="32" t="s">
        <v>101</v>
      </c>
      <c r="U1" s="36" t="s">
        <v>102</v>
      </c>
      <c r="V1" s="31" t="s">
        <v>103</v>
      </c>
      <c r="W1" s="31" t="s">
        <v>89</v>
      </c>
      <c r="X1" s="31" t="s">
        <v>88</v>
      </c>
      <c r="Y1" s="31" t="s">
        <v>104</v>
      </c>
      <c r="Z1" s="31" t="s">
        <v>105</v>
      </c>
      <c r="AA1" s="31" t="s">
        <v>106</v>
      </c>
      <c r="AB1" s="31" t="s">
        <v>107</v>
      </c>
      <c r="AC1" s="31" t="s">
        <v>108</v>
      </c>
      <c r="AD1" s="31" t="s">
        <v>109</v>
      </c>
      <c r="AE1" s="31" t="s">
        <v>110</v>
      </c>
      <c r="AF1" s="31" t="s">
        <v>111</v>
      </c>
      <c r="AG1" s="31" t="s">
        <v>112</v>
      </c>
      <c r="AH1" s="31" t="s">
        <v>113</v>
      </c>
      <c r="AI1" s="31" t="s">
        <v>114</v>
      </c>
      <c r="AJ1" s="31" t="s">
        <v>115</v>
      </c>
      <c r="AK1" s="31" t="s">
        <v>116</v>
      </c>
      <c r="AL1" s="31" t="s">
        <v>117</v>
      </c>
      <c r="AM1" s="31" t="s">
        <v>118</v>
      </c>
      <c r="AN1" s="39" t="s">
        <v>119</v>
      </c>
    </row>
    <row r="2" spans="1:40" ht="32.1" customHeight="1">
      <c r="A2" s="14">
        <v>3649249</v>
      </c>
      <c r="B2" s="14" t="s">
        <v>13</v>
      </c>
      <c r="C2" s="14" t="s">
        <v>120</v>
      </c>
      <c r="D2" s="14" t="s">
        <v>121</v>
      </c>
      <c r="E2" s="14" t="s">
        <v>121</v>
      </c>
      <c r="F2" s="14" t="s">
        <v>122</v>
      </c>
      <c r="G2" s="14">
        <v>2026</v>
      </c>
      <c r="H2" s="14" t="s">
        <v>123</v>
      </c>
      <c r="I2" s="14" t="s">
        <v>124</v>
      </c>
      <c r="J2" s="14" t="s">
        <v>125</v>
      </c>
      <c r="K2" s="14"/>
      <c r="L2" s="14" t="s">
        <v>5</v>
      </c>
      <c r="M2" s="14" t="s">
        <v>126</v>
      </c>
      <c r="N2" s="14" t="s">
        <v>127</v>
      </c>
      <c r="O2" s="14"/>
      <c r="P2" s="14" t="s">
        <v>128</v>
      </c>
      <c r="Q2" s="14" t="s">
        <v>129</v>
      </c>
      <c r="R2" s="14" t="s">
        <v>130</v>
      </c>
      <c r="S2" s="14" t="s">
        <v>131</v>
      </c>
      <c r="T2" s="18">
        <v>3007751069</v>
      </c>
      <c r="U2" s="21" t="s">
        <v>132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133</v>
      </c>
      <c r="AA2">
        <v>7.0706374277242299</v>
      </c>
      <c r="AB2">
        <v>-73.105528329117803</v>
      </c>
      <c r="AC2" t="s">
        <v>134</v>
      </c>
      <c r="AD2" t="s">
        <v>58</v>
      </c>
      <c r="AE2">
        <v>1</v>
      </c>
      <c r="AF2" t="s">
        <v>29</v>
      </c>
      <c r="AM2"/>
      <c r="AN2" s="29"/>
    </row>
    <row r="3" spans="1:40" ht="32.1" customHeight="1">
      <c r="A3" s="14">
        <v>3649288</v>
      </c>
      <c r="B3" s="14" t="s">
        <v>21</v>
      </c>
      <c r="C3" s="14" t="s">
        <v>135</v>
      </c>
      <c r="D3" s="14" t="s">
        <v>121</v>
      </c>
      <c r="E3" s="14" t="s">
        <v>121</v>
      </c>
      <c r="F3" s="14" t="s">
        <v>136</v>
      </c>
      <c r="G3" s="14">
        <v>2026</v>
      </c>
      <c r="H3" s="14" t="s">
        <v>123</v>
      </c>
      <c r="I3" s="14" t="s">
        <v>124</v>
      </c>
      <c r="J3" s="14" t="s">
        <v>137</v>
      </c>
      <c r="K3" s="14"/>
      <c r="L3" s="14" t="s">
        <v>4</v>
      </c>
      <c r="M3" s="14" t="s">
        <v>138</v>
      </c>
      <c r="N3" s="14" t="s">
        <v>139</v>
      </c>
      <c r="O3" s="14"/>
      <c r="P3" s="17" t="s">
        <v>140</v>
      </c>
      <c r="Q3" s="14" t="s">
        <v>129</v>
      </c>
      <c r="R3" s="14" t="s">
        <v>130</v>
      </c>
      <c r="S3" s="14">
        <v>3103340792</v>
      </c>
      <c r="T3" s="18" t="s">
        <v>141</v>
      </c>
      <c r="U3" s="21" t="s">
        <v>142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133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customHeight="1">
      <c r="A4" s="14">
        <v>3649297</v>
      </c>
      <c r="B4" s="14" t="s">
        <v>21</v>
      </c>
      <c r="C4" s="14" t="s">
        <v>135</v>
      </c>
      <c r="D4" s="14" t="s">
        <v>121</v>
      </c>
      <c r="E4" s="14" t="s">
        <v>121</v>
      </c>
      <c r="F4" s="14" t="s">
        <v>143</v>
      </c>
      <c r="G4" s="14">
        <v>2026</v>
      </c>
      <c r="H4" s="14" t="s">
        <v>123</v>
      </c>
      <c r="I4" s="14" t="s">
        <v>124</v>
      </c>
      <c r="J4" s="14" t="s">
        <v>144</v>
      </c>
      <c r="K4" s="14"/>
      <c r="L4" s="14" t="s">
        <v>4</v>
      </c>
      <c r="M4" s="14" t="s">
        <v>138</v>
      </c>
      <c r="N4" s="14" t="s">
        <v>145</v>
      </c>
      <c r="O4" s="14"/>
      <c r="P4" s="17" t="s">
        <v>146</v>
      </c>
      <c r="Q4" s="14" t="s">
        <v>129</v>
      </c>
      <c r="R4" s="14" t="s">
        <v>130</v>
      </c>
      <c r="S4" s="14">
        <v>3004550101</v>
      </c>
      <c r="T4" s="18" t="s">
        <v>147</v>
      </c>
      <c r="U4" s="21" t="s">
        <v>148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133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customHeight="1">
      <c r="A5" s="14">
        <v>3649449</v>
      </c>
      <c r="B5" s="14" t="s">
        <v>20</v>
      </c>
      <c r="C5" s="14" t="s">
        <v>149</v>
      </c>
      <c r="D5" s="14" t="s">
        <v>121</v>
      </c>
      <c r="E5" s="14" t="s">
        <v>121</v>
      </c>
      <c r="F5" s="14" t="s">
        <v>150</v>
      </c>
      <c r="G5" s="14">
        <v>2026</v>
      </c>
      <c r="H5" s="14" t="s">
        <v>123</v>
      </c>
      <c r="I5" s="14" t="s">
        <v>124</v>
      </c>
      <c r="J5" s="14" t="s">
        <v>151</v>
      </c>
      <c r="K5" s="14"/>
      <c r="L5" s="14" t="s">
        <v>6</v>
      </c>
      <c r="M5" s="14" t="s">
        <v>152</v>
      </c>
      <c r="N5" s="14" t="s">
        <v>153</v>
      </c>
      <c r="O5" s="14"/>
      <c r="P5" s="17" t="s">
        <v>154</v>
      </c>
      <c r="Q5" s="14" t="s">
        <v>155</v>
      </c>
      <c r="R5" s="14" t="s">
        <v>130</v>
      </c>
      <c r="S5" s="14" t="s">
        <v>156</v>
      </c>
      <c r="T5" s="18" t="s">
        <v>157</v>
      </c>
      <c r="U5" s="21" t="s">
        <v>158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133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customHeight="1">
      <c r="A6" s="14">
        <v>3649582</v>
      </c>
      <c r="B6" s="14" t="s">
        <v>20</v>
      </c>
      <c r="C6" s="14" t="s">
        <v>149</v>
      </c>
      <c r="D6" s="14" t="s">
        <v>121</v>
      </c>
      <c r="E6" s="14" t="s">
        <v>121</v>
      </c>
      <c r="F6" s="14" t="s">
        <v>159</v>
      </c>
      <c r="G6" s="14">
        <v>2026</v>
      </c>
      <c r="H6" s="14" t="s">
        <v>123</v>
      </c>
      <c r="I6" s="14" t="s">
        <v>124</v>
      </c>
      <c r="J6" s="14" t="s">
        <v>160</v>
      </c>
      <c r="K6" s="14"/>
      <c r="L6" s="14" t="s">
        <v>6</v>
      </c>
      <c r="M6" s="14" t="s">
        <v>152</v>
      </c>
      <c r="N6" s="14" t="s">
        <v>161</v>
      </c>
      <c r="O6" s="14"/>
      <c r="P6" s="17" t="s">
        <v>162</v>
      </c>
      <c r="Q6" s="14" t="s">
        <v>129</v>
      </c>
      <c r="R6" s="14" t="s">
        <v>163</v>
      </c>
      <c r="S6" s="14" t="s">
        <v>164</v>
      </c>
      <c r="T6" s="33" t="s">
        <v>165</v>
      </c>
      <c r="U6" s="21" t="s">
        <v>166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133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customHeight="1">
      <c r="A7" s="14">
        <v>3649592</v>
      </c>
      <c r="B7" s="14" t="s">
        <v>14</v>
      </c>
      <c r="C7" s="14" t="s">
        <v>167</v>
      </c>
      <c r="D7" s="14" t="s">
        <v>121</v>
      </c>
      <c r="E7" s="14" t="s">
        <v>121</v>
      </c>
      <c r="F7" s="14" t="s">
        <v>168</v>
      </c>
      <c r="G7" s="14">
        <v>2026</v>
      </c>
      <c r="H7" s="14" t="s">
        <v>123</v>
      </c>
      <c r="I7" s="14" t="s">
        <v>124</v>
      </c>
      <c r="J7" s="14" t="s">
        <v>169</v>
      </c>
      <c r="K7" s="14" t="s">
        <v>170</v>
      </c>
      <c r="L7" s="14" t="s">
        <v>6</v>
      </c>
      <c r="M7" s="14" t="s">
        <v>152</v>
      </c>
      <c r="N7" s="14" t="s">
        <v>171</v>
      </c>
      <c r="O7" s="14"/>
      <c r="P7" s="17" t="s">
        <v>172</v>
      </c>
      <c r="Q7" s="14" t="s">
        <v>129</v>
      </c>
      <c r="R7" s="14" t="s">
        <v>130</v>
      </c>
      <c r="S7" s="14">
        <v>3009121600</v>
      </c>
      <c r="T7" s="18" t="s">
        <v>173</v>
      </c>
      <c r="U7" s="21" t="s">
        <v>174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133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customHeight="1">
      <c r="A8" s="14">
        <v>3649609</v>
      </c>
      <c r="B8" s="14" t="s">
        <v>62</v>
      </c>
      <c r="C8" s="14" t="s">
        <v>175</v>
      </c>
      <c r="D8" s="14" t="s">
        <v>121</v>
      </c>
      <c r="E8" s="14" t="s">
        <v>121</v>
      </c>
      <c r="F8" s="14" t="s">
        <v>176</v>
      </c>
      <c r="G8" s="14">
        <v>2026</v>
      </c>
      <c r="H8" s="14" t="s">
        <v>123</v>
      </c>
      <c r="I8" s="14" t="s">
        <v>124</v>
      </c>
      <c r="J8" s="14" t="s">
        <v>177</v>
      </c>
      <c r="K8" s="14"/>
      <c r="L8" s="14" t="s">
        <v>4</v>
      </c>
      <c r="M8" s="14" t="s">
        <v>178</v>
      </c>
      <c r="N8" s="14" t="s">
        <v>179</v>
      </c>
      <c r="O8" s="14"/>
      <c r="P8" s="17" t="s">
        <v>180</v>
      </c>
      <c r="Q8" s="14" t="s">
        <v>155</v>
      </c>
      <c r="R8" s="14" t="s">
        <v>181</v>
      </c>
      <c r="S8" s="14">
        <v>3104257782</v>
      </c>
      <c r="T8" s="18" t="s">
        <v>182</v>
      </c>
      <c r="U8" s="21" t="s">
        <v>183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133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customHeight="1">
      <c r="A9" s="14">
        <v>3652749</v>
      </c>
      <c r="B9" s="14" t="s">
        <v>22</v>
      </c>
      <c r="C9" s="14" t="s">
        <v>184</v>
      </c>
      <c r="D9" s="14" t="s">
        <v>185</v>
      </c>
      <c r="E9" s="14" t="s">
        <v>185</v>
      </c>
      <c r="F9" s="14" t="s">
        <v>186</v>
      </c>
      <c r="G9" s="14">
        <v>2026</v>
      </c>
      <c r="H9" s="14" t="s">
        <v>123</v>
      </c>
      <c r="I9" s="14" t="s">
        <v>124</v>
      </c>
      <c r="J9" s="14" t="s">
        <v>187</v>
      </c>
      <c r="K9" s="14" t="s">
        <v>188</v>
      </c>
      <c r="L9" s="14" t="s">
        <v>4</v>
      </c>
      <c r="M9" s="14" t="s">
        <v>138</v>
      </c>
      <c r="N9" s="14" t="s">
        <v>189</v>
      </c>
      <c r="O9" s="14"/>
      <c r="P9" s="17" t="s">
        <v>190</v>
      </c>
      <c r="Q9" s="14" t="s">
        <v>155</v>
      </c>
      <c r="R9" s="14" t="s">
        <v>130</v>
      </c>
      <c r="S9" s="14">
        <v>3112914286</v>
      </c>
      <c r="T9" s="18" t="s">
        <v>191</v>
      </c>
      <c r="U9" s="21" t="s">
        <v>192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133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193</v>
      </c>
    </row>
    <row r="10" spans="1:40" ht="32.1" customHeight="1">
      <c r="A10" s="14">
        <v>3652752</v>
      </c>
      <c r="B10" s="14" t="s">
        <v>22</v>
      </c>
      <c r="C10" s="14" t="s">
        <v>184</v>
      </c>
      <c r="D10" s="14" t="s">
        <v>185</v>
      </c>
      <c r="E10" s="14" t="s">
        <v>185</v>
      </c>
      <c r="F10" s="14" t="s">
        <v>194</v>
      </c>
      <c r="G10" s="14">
        <v>2026</v>
      </c>
      <c r="H10" s="14" t="s">
        <v>123</v>
      </c>
      <c r="I10" s="14" t="s">
        <v>124</v>
      </c>
      <c r="J10" s="14" t="s">
        <v>195</v>
      </c>
      <c r="K10" s="14" t="s">
        <v>196</v>
      </c>
      <c r="L10" s="14" t="s">
        <v>4</v>
      </c>
      <c r="M10" s="14" t="s">
        <v>138</v>
      </c>
      <c r="N10" s="14" t="s">
        <v>197</v>
      </c>
      <c r="O10" s="14"/>
      <c r="P10" s="17" t="s">
        <v>198</v>
      </c>
      <c r="Q10" s="14" t="s">
        <v>155</v>
      </c>
      <c r="R10" s="14" t="s">
        <v>130</v>
      </c>
      <c r="S10" s="14">
        <v>3112034494</v>
      </c>
      <c r="T10" s="18" t="s">
        <v>191</v>
      </c>
      <c r="U10" s="21" t="s">
        <v>199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133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customHeight="1">
      <c r="A11" s="14">
        <v>3652756</v>
      </c>
      <c r="B11" s="14" t="s">
        <v>22</v>
      </c>
      <c r="C11" s="14" t="s">
        <v>184</v>
      </c>
      <c r="D11" s="14" t="s">
        <v>185</v>
      </c>
      <c r="E11" s="14" t="s">
        <v>185</v>
      </c>
      <c r="F11" s="14" t="s">
        <v>200</v>
      </c>
      <c r="G11" s="14">
        <v>2026</v>
      </c>
      <c r="H11" s="14" t="s">
        <v>123</v>
      </c>
      <c r="I11" s="14" t="s">
        <v>124</v>
      </c>
      <c r="J11" s="14" t="s">
        <v>201</v>
      </c>
      <c r="K11" s="14" t="s">
        <v>202</v>
      </c>
      <c r="L11" s="14" t="s">
        <v>4</v>
      </c>
      <c r="M11" s="14" t="s">
        <v>138</v>
      </c>
      <c r="N11" s="14" t="s">
        <v>203</v>
      </c>
      <c r="O11" s="14"/>
      <c r="P11" s="17" t="s">
        <v>204</v>
      </c>
      <c r="Q11" s="14" t="s">
        <v>155</v>
      </c>
      <c r="R11" s="14" t="s">
        <v>130</v>
      </c>
      <c r="S11" s="14">
        <v>3114910947</v>
      </c>
      <c r="T11" s="18" t="s">
        <v>205</v>
      </c>
      <c r="U11" s="21" t="s">
        <v>206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133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customHeight="1">
      <c r="A12" s="14">
        <v>3652790</v>
      </c>
      <c r="B12" s="14" t="s">
        <v>15</v>
      </c>
      <c r="C12" s="14" t="s">
        <v>207</v>
      </c>
      <c r="D12" s="14" t="s">
        <v>185</v>
      </c>
      <c r="E12" s="14" t="s">
        <v>185</v>
      </c>
      <c r="F12" s="14" t="s">
        <v>208</v>
      </c>
      <c r="G12" s="14">
        <v>2026</v>
      </c>
      <c r="H12" s="14" t="s">
        <v>123</v>
      </c>
      <c r="I12" s="14" t="s">
        <v>124</v>
      </c>
      <c r="J12" s="14" t="s">
        <v>209</v>
      </c>
      <c r="K12" s="14"/>
      <c r="L12" s="14" t="s">
        <v>4</v>
      </c>
      <c r="M12" s="14" t="s">
        <v>138</v>
      </c>
      <c r="N12" s="14" t="s">
        <v>210</v>
      </c>
      <c r="O12" s="14"/>
      <c r="P12" s="17" t="s">
        <v>211</v>
      </c>
      <c r="Q12" s="14" t="s">
        <v>212</v>
      </c>
      <c r="R12" s="14" t="s">
        <v>213</v>
      </c>
      <c r="S12" s="14">
        <v>3102521005</v>
      </c>
      <c r="T12" s="18" t="s">
        <v>214</v>
      </c>
      <c r="U12" s="21" t="s">
        <v>215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133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customHeight="1">
      <c r="A13" s="14">
        <v>3652807</v>
      </c>
      <c r="B13" s="14" t="s">
        <v>22</v>
      </c>
      <c r="C13" s="14" t="s">
        <v>184</v>
      </c>
      <c r="D13" s="14" t="s">
        <v>185</v>
      </c>
      <c r="E13" s="14" t="s">
        <v>185</v>
      </c>
      <c r="F13" s="14" t="s">
        <v>216</v>
      </c>
      <c r="G13" s="14">
        <v>2026</v>
      </c>
      <c r="H13" s="14" t="s">
        <v>123</v>
      </c>
      <c r="I13" s="14" t="s">
        <v>124</v>
      </c>
      <c r="J13" s="14" t="s">
        <v>217</v>
      </c>
      <c r="K13" s="14"/>
      <c r="L13" s="14" t="s">
        <v>4</v>
      </c>
      <c r="M13" s="14" t="s">
        <v>138</v>
      </c>
      <c r="N13" s="14" t="s">
        <v>218</v>
      </c>
      <c r="O13" s="14"/>
      <c r="P13" s="17" t="s">
        <v>219</v>
      </c>
      <c r="Q13" s="14" t="s">
        <v>155</v>
      </c>
      <c r="R13" s="14" t="s">
        <v>130</v>
      </c>
      <c r="S13" s="14" t="s">
        <v>220</v>
      </c>
      <c r="T13" s="18" t="s">
        <v>191</v>
      </c>
      <c r="U13" s="21" t="s">
        <v>221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133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customHeight="1">
      <c r="A14" s="14">
        <v>3652812</v>
      </c>
      <c r="B14" s="14" t="s">
        <v>22</v>
      </c>
      <c r="C14" s="14" t="s">
        <v>184</v>
      </c>
      <c r="D14" s="14" t="s">
        <v>185</v>
      </c>
      <c r="E14" s="14" t="s">
        <v>185</v>
      </c>
      <c r="F14" s="14" t="s">
        <v>222</v>
      </c>
      <c r="G14" s="14">
        <v>2026</v>
      </c>
      <c r="H14" s="14" t="s">
        <v>123</v>
      </c>
      <c r="I14" s="14" t="s">
        <v>124</v>
      </c>
      <c r="J14" s="14" t="s">
        <v>223</v>
      </c>
      <c r="K14" s="14"/>
      <c r="L14" s="14" t="s">
        <v>4</v>
      </c>
      <c r="M14" s="14" t="s">
        <v>138</v>
      </c>
      <c r="N14" s="14" t="s">
        <v>224</v>
      </c>
      <c r="O14" s="14"/>
      <c r="P14" s="17" t="s">
        <v>225</v>
      </c>
      <c r="Q14" s="14" t="s">
        <v>155</v>
      </c>
      <c r="R14" s="14" t="s">
        <v>130</v>
      </c>
      <c r="S14" s="14">
        <v>3105722683</v>
      </c>
      <c r="T14" s="18" t="s">
        <v>226</v>
      </c>
      <c r="U14" s="37" t="s">
        <v>227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133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customHeight="1">
      <c r="A15" s="14">
        <v>3652852</v>
      </c>
      <c r="B15" s="14" t="s">
        <v>16</v>
      </c>
      <c r="C15" s="14" t="s">
        <v>228</v>
      </c>
      <c r="D15" s="14" t="s">
        <v>185</v>
      </c>
      <c r="E15" s="14" t="s">
        <v>185</v>
      </c>
      <c r="F15" s="14" t="s">
        <v>229</v>
      </c>
      <c r="G15" s="14">
        <v>2026</v>
      </c>
      <c r="H15" s="14" t="s">
        <v>123</v>
      </c>
      <c r="I15" s="14" t="s">
        <v>124</v>
      </c>
      <c r="J15" s="14" t="s">
        <v>230</v>
      </c>
      <c r="K15" s="14"/>
      <c r="L15" s="14" t="s">
        <v>4</v>
      </c>
      <c r="M15" s="14" t="s">
        <v>231</v>
      </c>
      <c r="N15" s="14" t="s">
        <v>232</v>
      </c>
      <c r="O15" s="14"/>
      <c r="P15" s="17" t="s">
        <v>233</v>
      </c>
      <c r="Q15" s="14" t="s">
        <v>155</v>
      </c>
      <c r="R15" s="14" t="s">
        <v>130</v>
      </c>
      <c r="S15" s="14" t="s">
        <v>234</v>
      </c>
      <c r="T15" s="18">
        <v>3002661196</v>
      </c>
      <c r="U15" s="21" t="s">
        <v>235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133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customHeight="1">
      <c r="A16" s="14">
        <v>3652942</v>
      </c>
      <c r="B16" s="14" t="s">
        <v>18</v>
      </c>
      <c r="C16" s="14" t="s">
        <v>236</v>
      </c>
      <c r="D16" s="14" t="s">
        <v>185</v>
      </c>
      <c r="E16" s="14" t="s">
        <v>185</v>
      </c>
      <c r="F16" s="14" t="s">
        <v>237</v>
      </c>
      <c r="G16" s="14">
        <v>2026</v>
      </c>
      <c r="H16" s="14" t="s">
        <v>123</v>
      </c>
      <c r="I16" s="14" t="s">
        <v>124</v>
      </c>
      <c r="J16" s="14" t="s">
        <v>238</v>
      </c>
      <c r="K16" s="14"/>
      <c r="L16" s="14" t="s">
        <v>4</v>
      </c>
      <c r="M16" s="14" t="s">
        <v>138</v>
      </c>
      <c r="N16" s="14" t="s">
        <v>239</v>
      </c>
      <c r="O16" s="14"/>
      <c r="P16" s="17" t="s">
        <v>240</v>
      </c>
      <c r="Q16" s="14" t="s">
        <v>129</v>
      </c>
      <c r="R16" s="14" t="s">
        <v>130</v>
      </c>
      <c r="S16" s="14">
        <v>3112914286</v>
      </c>
      <c r="T16" s="18" t="s">
        <v>241</v>
      </c>
      <c r="U16" s="21" t="s">
        <v>242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243</v>
      </c>
      <c r="AD16" t="s">
        <v>58</v>
      </c>
      <c r="AE16">
        <v>1</v>
      </c>
      <c r="AF16" t="s">
        <v>50</v>
      </c>
      <c r="AM16"/>
      <c r="AN16" s="29"/>
    </row>
    <row r="17" spans="1:40" ht="32.1" customHeight="1">
      <c r="A17" s="14">
        <v>3652948</v>
      </c>
      <c r="B17" s="14" t="s">
        <v>19</v>
      </c>
      <c r="C17" s="14" t="s">
        <v>244</v>
      </c>
      <c r="D17" s="14" t="s">
        <v>185</v>
      </c>
      <c r="E17" s="14" t="s">
        <v>185</v>
      </c>
      <c r="F17" s="14" t="s">
        <v>245</v>
      </c>
      <c r="G17" s="14">
        <v>2026</v>
      </c>
      <c r="H17" s="14" t="s">
        <v>123</v>
      </c>
      <c r="I17" s="14" t="s">
        <v>124</v>
      </c>
      <c r="J17" s="14" t="s">
        <v>246</v>
      </c>
      <c r="K17" s="14"/>
      <c r="L17" s="14" t="s">
        <v>4</v>
      </c>
      <c r="M17" s="14" t="s">
        <v>231</v>
      </c>
      <c r="N17" s="14" t="s">
        <v>247</v>
      </c>
      <c r="O17" s="14"/>
      <c r="P17" s="17" t="s">
        <v>248</v>
      </c>
      <c r="Q17" s="14" t="s">
        <v>155</v>
      </c>
      <c r="R17" s="14" t="s">
        <v>130</v>
      </c>
      <c r="S17" s="14">
        <v>3105652759</v>
      </c>
      <c r="T17" s="18" t="s">
        <v>249</v>
      </c>
      <c r="U17" s="21" t="s">
        <v>250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133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customHeight="1">
      <c r="A18" s="14">
        <v>3652991</v>
      </c>
      <c r="B18" s="14" t="s">
        <v>19</v>
      </c>
      <c r="C18" s="14" t="s">
        <v>244</v>
      </c>
      <c r="D18" s="14" t="s">
        <v>185</v>
      </c>
      <c r="E18" s="14" t="s">
        <v>185</v>
      </c>
      <c r="F18" s="14" t="s">
        <v>251</v>
      </c>
      <c r="G18" s="14">
        <v>2026</v>
      </c>
      <c r="H18" s="14" t="s">
        <v>123</v>
      </c>
      <c r="I18" s="14" t="s">
        <v>124</v>
      </c>
      <c r="J18" s="14" t="s">
        <v>252</v>
      </c>
      <c r="K18" s="14" t="s">
        <v>253</v>
      </c>
      <c r="L18" s="14" t="s">
        <v>4</v>
      </c>
      <c r="M18" s="14" t="s">
        <v>231</v>
      </c>
      <c r="N18" s="14" t="s">
        <v>254</v>
      </c>
      <c r="O18" s="14"/>
      <c r="P18" s="17" t="s">
        <v>255</v>
      </c>
      <c r="Q18" s="14" t="s">
        <v>129</v>
      </c>
      <c r="R18" s="14" t="s">
        <v>163</v>
      </c>
      <c r="S18" s="14">
        <v>3115576168</v>
      </c>
      <c r="T18" s="18" t="s">
        <v>249</v>
      </c>
      <c r="U18" s="21" t="s">
        <v>256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133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customHeight="1">
      <c r="A19" s="14">
        <v>3653000</v>
      </c>
      <c r="B19" s="14" t="s">
        <v>10</v>
      </c>
      <c r="C19" s="14" t="s">
        <v>257</v>
      </c>
      <c r="D19" s="14" t="s">
        <v>185</v>
      </c>
      <c r="E19" s="14" t="s">
        <v>185</v>
      </c>
      <c r="F19" s="14" t="s">
        <v>258</v>
      </c>
      <c r="G19" s="14">
        <v>2026</v>
      </c>
      <c r="H19" s="14" t="s">
        <v>123</v>
      </c>
      <c r="I19" s="14" t="s">
        <v>124</v>
      </c>
      <c r="J19" s="14" t="s">
        <v>259</v>
      </c>
      <c r="K19" s="14" t="s">
        <v>260</v>
      </c>
      <c r="L19" s="14" t="s">
        <v>4</v>
      </c>
      <c r="M19" s="14" t="s">
        <v>138</v>
      </c>
      <c r="N19" s="14" t="s">
        <v>261</v>
      </c>
      <c r="O19" s="14"/>
      <c r="P19" s="17" t="s">
        <v>262</v>
      </c>
      <c r="Q19" s="14" t="s">
        <v>155</v>
      </c>
      <c r="R19" s="14" t="s">
        <v>130</v>
      </c>
      <c r="S19" s="14" t="s">
        <v>263</v>
      </c>
      <c r="T19" s="18" t="s">
        <v>264</v>
      </c>
      <c r="U19" s="21" t="s">
        <v>265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133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266</v>
      </c>
    </row>
    <row r="20" spans="1:40" ht="32.1" customHeight="1">
      <c r="A20" s="14">
        <v>3653008</v>
      </c>
      <c r="B20" s="14" t="s">
        <v>19</v>
      </c>
      <c r="C20" s="14" t="s">
        <v>244</v>
      </c>
      <c r="D20" s="14" t="s">
        <v>185</v>
      </c>
      <c r="E20" s="14" t="s">
        <v>185</v>
      </c>
      <c r="F20" s="14" t="s">
        <v>267</v>
      </c>
      <c r="G20" s="14">
        <v>2026</v>
      </c>
      <c r="H20" s="14" t="s">
        <v>123</v>
      </c>
      <c r="I20" s="14" t="s">
        <v>124</v>
      </c>
      <c r="J20" s="14" t="s">
        <v>268</v>
      </c>
      <c r="K20" s="14"/>
      <c r="L20" s="14" t="s">
        <v>4</v>
      </c>
      <c r="M20" s="14" t="s">
        <v>231</v>
      </c>
      <c r="N20" s="14" t="s">
        <v>269</v>
      </c>
      <c r="O20" s="14"/>
      <c r="P20" s="17" t="s">
        <v>270</v>
      </c>
      <c r="Q20" s="14" t="s">
        <v>129</v>
      </c>
      <c r="R20" s="14" t="s">
        <v>213</v>
      </c>
      <c r="S20" s="14" t="s">
        <v>271</v>
      </c>
      <c r="T20" s="18" t="s">
        <v>249</v>
      </c>
      <c r="U20" s="21" t="s">
        <v>272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133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customHeight="1">
      <c r="A21" s="14">
        <v>3653140</v>
      </c>
      <c r="B21" s="14" t="s">
        <v>18</v>
      </c>
      <c r="C21" s="14" t="s">
        <v>236</v>
      </c>
      <c r="D21" s="14" t="s">
        <v>185</v>
      </c>
      <c r="E21" s="14" t="s">
        <v>185</v>
      </c>
      <c r="F21" s="14" t="s">
        <v>273</v>
      </c>
      <c r="G21" s="14">
        <v>2026</v>
      </c>
      <c r="H21" s="14" t="s">
        <v>123</v>
      </c>
      <c r="I21" s="14" t="s">
        <v>124</v>
      </c>
      <c r="J21" s="14" t="s">
        <v>274</v>
      </c>
      <c r="K21" s="14"/>
      <c r="L21" s="14" t="s">
        <v>4</v>
      </c>
      <c r="M21" s="14" t="s">
        <v>138</v>
      </c>
      <c r="N21" s="14" t="s">
        <v>275</v>
      </c>
      <c r="O21" s="14"/>
      <c r="P21" s="17" t="s">
        <v>276</v>
      </c>
      <c r="Q21" s="14" t="s">
        <v>129</v>
      </c>
      <c r="R21" s="14" t="s">
        <v>213</v>
      </c>
      <c r="S21" s="14">
        <v>3142406629</v>
      </c>
      <c r="T21" s="18" t="s">
        <v>249</v>
      </c>
      <c r="U21" s="21" t="s">
        <v>277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133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customHeight="1">
      <c r="A22" s="14">
        <v>3653143</v>
      </c>
      <c r="B22" s="14" t="s">
        <v>17</v>
      </c>
      <c r="C22" s="14" t="s">
        <v>278</v>
      </c>
      <c r="D22" s="14" t="s">
        <v>185</v>
      </c>
      <c r="E22" s="14" t="s">
        <v>185</v>
      </c>
      <c r="F22" s="14" t="s">
        <v>279</v>
      </c>
      <c r="G22" s="14">
        <v>2026</v>
      </c>
      <c r="H22" s="14" t="s">
        <v>123</v>
      </c>
      <c r="I22" s="14" t="s">
        <v>124</v>
      </c>
      <c r="J22" s="14" t="s">
        <v>280</v>
      </c>
      <c r="K22" s="14"/>
      <c r="L22" s="14" t="s">
        <v>4</v>
      </c>
      <c r="M22" s="14" t="s">
        <v>138</v>
      </c>
      <c r="N22" s="14" t="s">
        <v>281</v>
      </c>
      <c r="O22" s="14"/>
      <c r="P22" s="17" t="s">
        <v>282</v>
      </c>
      <c r="Q22" s="14" t="s">
        <v>129</v>
      </c>
      <c r="R22" s="14" t="s">
        <v>130</v>
      </c>
      <c r="S22" s="14">
        <v>3114910947</v>
      </c>
      <c r="T22" s="18" t="s">
        <v>283</v>
      </c>
      <c r="U22" s="21" t="s">
        <v>284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133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customHeight="1">
      <c r="A23" s="14">
        <v>3653092</v>
      </c>
      <c r="B23" s="14" t="s">
        <v>8</v>
      </c>
      <c r="C23" s="14" t="s">
        <v>81</v>
      </c>
      <c r="D23" s="14" t="s">
        <v>185</v>
      </c>
      <c r="E23" s="14" t="s">
        <v>185</v>
      </c>
      <c r="F23" s="14" t="s">
        <v>285</v>
      </c>
      <c r="G23" s="14">
        <v>2026</v>
      </c>
      <c r="H23" s="14" t="s">
        <v>123</v>
      </c>
      <c r="I23" s="14" t="s">
        <v>124</v>
      </c>
      <c r="J23" s="14" t="s">
        <v>286</v>
      </c>
      <c r="K23" s="14"/>
      <c r="L23" s="14" t="s">
        <v>4</v>
      </c>
      <c r="M23" s="14" t="s">
        <v>231</v>
      </c>
      <c r="N23" s="14" t="s">
        <v>287</v>
      </c>
      <c r="O23" s="14"/>
      <c r="P23" s="17" t="s">
        <v>288</v>
      </c>
      <c r="Q23" s="14" t="s">
        <v>212</v>
      </c>
      <c r="R23" s="14" t="s">
        <v>213</v>
      </c>
      <c r="S23" s="14">
        <v>3506549064</v>
      </c>
      <c r="T23" s="18">
        <v>3506549064</v>
      </c>
      <c r="U23" s="21" t="s">
        <v>289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133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M23"/>
      <c r="AN23" s="29" t="s">
        <v>290</v>
      </c>
    </row>
    <row r="24" spans="1:40" ht="32.1" customHeight="1">
      <c r="A24" s="14">
        <v>3656243</v>
      </c>
      <c r="B24" s="14" t="s">
        <v>16</v>
      </c>
      <c r="C24" s="14" t="s">
        <v>228</v>
      </c>
      <c r="D24" s="14" t="s">
        <v>291</v>
      </c>
      <c r="E24" s="14" t="s">
        <v>291</v>
      </c>
      <c r="F24" s="14" t="s">
        <v>292</v>
      </c>
      <c r="G24" s="14">
        <v>2026</v>
      </c>
      <c r="H24" s="14" t="s">
        <v>123</v>
      </c>
      <c r="I24" s="14" t="s">
        <v>124</v>
      </c>
      <c r="J24" s="14" t="s">
        <v>293</v>
      </c>
      <c r="K24" s="14"/>
      <c r="L24" s="14" t="s">
        <v>4</v>
      </c>
      <c r="M24" s="14" t="s">
        <v>231</v>
      </c>
      <c r="N24" s="14" t="s">
        <v>294</v>
      </c>
      <c r="O24" s="14"/>
      <c r="P24" s="17" t="s">
        <v>295</v>
      </c>
      <c r="Q24" s="14" t="s">
        <v>129</v>
      </c>
      <c r="R24" s="14" t="s">
        <v>130</v>
      </c>
      <c r="S24" s="14" t="s">
        <v>296</v>
      </c>
      <c r="T24" s="18" t="s">
        <v>297</v>
      </c>
      <c r="U24" s="21" t="s">
        <v>298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133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customHeight="1">
      <c r="A25" s="14">
        <v>3656464</v>
      </c>
      <c r="B25" s="14" t="s">
        <v>21</v>
      </c>
      <c r="C25" s="14" t="s">
        <v>135</v>
      </c>
      <c r="D25" s="14" t="s">
        <v>291</v>
      </c>
      <c r="E25" s="14" t="s">
        <v>291</v>
      </c>
      <c r="F25" s="14" t="s">
        <v>299</v>
      </c>
      <c r="G25" s="14">
        <v>2026</v>
      </c>
      <c r="H25" s="14" t="s">
        <v>123</v>
      </c>
      <c r="I25" s="14" t="s">
        <v>124</v>
      </c>
      <c r="J25" s="14" t="s">
        <v>300</v>
      </c>
      <c r="K25" s="14"/>
      <c r="L25" s="14" t="s">
        <v>4</v>
      </c>
      <c r="M25" s="14" t="s">
        <v>138</v>
      </c>
      <c r="N25" s="14" t="s">
        <v>301</v>
      </c>
      <c r="O25" s="14"/>
      <c r="P25" s="17" t="s">
        <v>302</v>
      </c>
      <c r="Q25" s="14" t="s">
        <v>129</v>
      </c>
      <c r="R25" s="14" t="s">
        <v>130</v>
      </c>
      <c r="S25" s="14">
        <v>3123311755</v>
      </c>
      <c r="T25" s="18">
        <v>3208997195</v>
      </c>
      <c r="U25" s="21" t="s">
        <v>303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133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customHeight="1">
      <c r="A26" s="14">
        <v>3656477</v>
      </c>
      <c r="B26" s="14" t="s">
        <v>15</v>
      </c>
      <c r="C26" s="14" t="s">
        <v>207</v>
      </c>
      <c r="D26" s="14" t="s">
        <v>291</v>
      </c>
      <c r="E26" s="14" t="s">
        <v>291</v>
      </c>
      <c r="F26" s="14" t="s">
        <v>304</v>
      </c>
      <c r="G26" s="14">
        <v>2026</v>
      </c>
      <c r="H26" s="14" t="s">
        <v>123</v>
      </c>
      <c r="I26" s="14" t="s">
        <v>124</v>
      </c>
      <c r="J26" s="14" t="s">
        <v>305</v>
      </c>
      <c r="K26" s="14"/>
      <c r="L26" s="14" t="s">
        <v>4</v>
      </c>
      <c r="M26" s="14" t="s">
        <v>138</v>
      </c>
      <c r="N26" s="14" t="s">
        <v>306</v>
      </c>
      <c r="O26" s="14"/>
      <c r="P26" s="17" t="s">
        <v>307</v>
      </c>
      <c r="Q26" s="14" t="s">
        <v>212</v>
      </c>
      <c r="R26" s="14" t="s">
        <v>213</v>
      </c>
      <c r="S26" s="14">
        <v>3205633053</v>
      </c>
      <c r="T26" s="18">
        <v>3205633053</v>
      </c>
      <c r="U26" s="21" t="s">
        <v>308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133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customHeight="1">
      <c r="A27" s="14">
        <v>3656520</v>
      </c>
      <c r="B27" s="14" t="s">
        <v>14</v>
      </c>
      <c r="C27" s="14" t="s">
        <v>167</v>
      </c>
      <c r="D27" s="14" t="s">
        <v>291</v>
      </c>
      <c r="E27" s="14" t="s">
        <v>291</v>
      </c>
      <c r="F27" s="14" t="s">
        <v>309</v>
      </c>
      <c r="G27" s="14">
        <v>2026</v>
      </c>
      <c r="H27" s="14" t="s">
        <v>123</v>
      </c>
      <c r="I27" s="14" t="s">
        <v>124</v>
      </c>
      <c r="J27" s="14" t="s">
        <v>310</v>
      </c>
      <c r="K27" s="14"/>
      <c r="L27" s="14" t="s">
        <v>6</v>
      </c>
      <c r="M27" s="14" t="s">
        <v>152</v>
      </c>
      <c r="N27" s="14" t="s">
        <v>311</v>
      </c>
      <c r="O27" s="14"/>
      <c r="P27" s="17" t="s">
        <v>312</v>
      </c>
      <c r="Q27" s="14" t="s">
        <v>155</v>
      </c>
      <c r="R27" s="14" t="s">
        <v>163</v>
      </c>
      <c r="S27" s="14">
        <v>3104223304</v>
      </c>
      <c r="T27" s="18" t="s">
        <v>313</v>
      </c>
      <c r="U27" s="21" t="s">
        <v>314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133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customHeight="1">
      <c r="A28" s="14">
        <v>3656577</v>
      </c>
      <c r="B28" s="14" t="s">
        <v>20</v>
      </c>
      <c r="C28" s="14" t="s">
        <v>149</v>
      </c>
      <c r="D28" s="14" t="s">
        <v>291</v>
      </c>
      <c r="E28" s="14" t="s">
        <v>291</v>
      </c>
      <c r="F28" s="14" t="s">
        <v>315</v>
      </c>
      <c r="G28" s="14">
        <v>2026</v>
      </c>
      <c r="H28" s="14" t="s">
        <v>123</v>
      </c>
      <c r="I28" s="14" t="s">
        <v>124</v>
      </c>
      <c r="J28" s="14" t="s">
        <v>316</v>
      </c>
      <c r="K28" s="14"/>
      <c r="L28" s="14" t="s">
        <v>6</v>
      </c>
      <c r="M28" s="14" t="s">
        <v>152</v>
      </c>
      <c r="N28" s="14" t="s">
        <v>317</v>
      </c>
      <c r="O28" s="14"/>
      <c r="P28" s="17" t="s">
        <v>318</v>
      </c>
      <c r="Q28" s="14" t="s">
        <v>129</v>
      </c>
      <c r="R28" s="14" t="s">
        <v>213</v>
      </c>
      <c r="S28" s="14" t="s">
        <v>319</v>
      </c>
      <c r="T28" s="18" t="s">
        <v>320</v>
      </c>
      <c r="U28" s="21" t="s">
        <v>321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133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customHeight="1">
      <c r="A29" s="14">
        <v>3656588</v>
      </c>
      <c r="B29" s="14" t="s">
        <v>17</v>
      </c>
      <c r="C29" s="14" t="s">
        <v>278</v>
      </c>
      <c r="D29" s="14" t="s">
        <v>291</v>
      </c>
      <c r="E29" s="14" t="s">
        <v>291</v>
      </c>
      <c r="F29" s="14" t="s">
        <v>322</v>
      </c>
      <c r="G29" s="14">
        <v>2026</v>
      </c>
      <c r="H29" s="14" t="s">
        <v>123</v>
      </c>
      <c r="I29" s="14" t="s">
        <v>124</v>
      </c>
      <c r="J29" s="14" t="s">
        <v>323</v>
      </c>
      <c r="K29" s="14"/>
      <c r="L29" s="14" t="s">
        <v>4</v>
      </c>
      <c r="M29" s="14" t="s">
        <v>138</v>
      </c>
      <c r="N29" s="14" t="s">
        <v>324</v>
      </c>
      <c r="O29" s="14"/>
      <c r="P29" s="17" t="s">
        <v>325</v>
      </c>
      <c r="Q29" s="14" t="s">
        <v>129</v>
      </c>
      <c r="R29" s="14" t="s">
        <v>130</v>
      </c>
      <c r="S29" s="14" t="s">
        <v>326</v>
      </c>
      <c r="T29" s="18" t="s">
        <v>283</v>
      </c>
      <c r="U29" s="21" t="s">
        <v>327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133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customHeight="1">
      <c r="A30" s="14">
        <v>3656652</v>
      </c>
      <c r="B30" s="14" t="s">
        <v>21</v>
      </c>
      <c r="C30" s="14" t="s">
        <v>135</v>
      </c>
      <c r="D30" s="14" t="s">
        <v>291</v>
      </c>
      <c r="E30" s="14" t="s">
        <v>291</v>
      </c>
      <c r="F30" s="14" t="s">
        <v>328</v>
      </c>
      <c r="G30" s="14">
        <v>2026</v>
      </c>
      <c r="H30" s="14" t="s">
        <v>123</v>
      </c>
      <c r="I30" s="14" t="s">
        <v>124</v>
      </c>
      <c r="J30" s="14" t="s">
        <v>329</v>
      </c>
      <c r="K30" s="14" t="s">
        <v>330</v>
      </c>
      <c r="L30" s="14" t="s">
        <v>4</v>
      </c>
      <c r="M30" s="14" t="s">
        <v>138</v>
      </c>
      <c r="N30" s="20" t="s">
        <v>331</v>
      </c>
      <c r="O30" s="14"/>
      <c r="P30" s="17" t="s">
        <v>332</v>
      </c>
      <c r="Q30" s="14" t="s">
        <v>212</v>
      </c>
      <c r="R30" s="14" t="s">
        <v>213</v>
      </c>
      <c r="S30" s="14">
        <v>3124883281</v>
      </c>
      <c r="T30" s="18">
        <v>3028167161</v>
      </c>
      <c r="U30" s="21" t="s">
        <v>333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133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customHeight="1">
      <c r="A31" s="14">
        <v>3668119</v>
      </c>
      <c r="B31" s="14" t="s">
        <v>11</v>
      </c>
      <c r="C31" s="14" t="s">
        <v>334</v>
      </c>
      <c r="D31" s="14" t="s">
        <v>335</v>
      </c>
      <c r="E31" s="14" t="s">
        <v>335</v>
      </c>
      <c r="F31" s="14" t="s">
        <v>336</v>
      </c>
      <c r="G31" s="14">
        <v>2026</v>
      </c>
      <c r="H31" s="14" t="s">
        <v>123</v>
      </c>
      <c r="I31" s="14" t="s">
        <v>124</v>
      </c>
      <c r="J31" s="20" t="s">
        <v>337</v>
      </c>
      <c r="K31" s="20" t="s">
        <v>338</v>
      </c>
      <c r="L31" s="14" t="s">
        <v>4</v>
      </c>
      <c r="M31" s="18" t="s">
        <v>178</v>
      </c>
      <c r="N31" s="21" t="s">
        <v>339</v>
      </c>
      <c r="O31" s="19"/>
      <c r="P31" s="17" t="s">
        <v>340</v>
      </c>
      <c r="Q31" s="14" t="s">
        <v>212</v>
      </c>
      <c r="R31" s="14" t="s">
        <v>213</v>
      </c>
      <c r="S31" s="14" t="s">
        <v>341</v>
      </c>
      <c r="T31" s="18">
        <v>3112581902</v>
      </c>
      <c r="U31" s="37" t="s">
        <v>342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343</v>
      </c>
      <c r="Z31" t="s">
        <v>133</v>
      </c>
      <c r="AA31" t="s">
        <v>344</v>
      </c>
      <c r="AD31" t="s">
        <v>58</v>
      </c>
      <c r="AE31">
        <v>1</v>
      </c>
      <c r="AF31" t="s">
        <v>29</v>
      </c>
      <c r="AM31"/>
      <c r="AN31" s="29"/>
    </row>
    <row r="32" spans="1:40" ht="18.95" customHeight="1">
      <c r="A32" s="20">
        <v>3671208</v>
      </c>
      <c r="B32" s="20" t="s">
        <v>63</v>
      </c>
      <c r="C32" s="20" t="s">
        <v>345</v>
      </c>
      <c r="D32" s="20" t="s">
        <v>346</v>
      </c>
      <c r="E32" s="20" t="s">
        <v>346</v>
      </c>
      <c r="F32" s="20" t="s">
        <v>347</v>
      </c>
      <c r="G32" s="20">
        <v>2026</v>
      </c>
      <c r="H32" s="20" t="s">
        <v>123</v>
      </c>
      <c r="I32" s="20" t="s">
        <v>124</v>
      </c>
      <c r="J32" s="20" t="s">
        <v>348</v>
      </c>
      <c r="K32" s="20"/>
      <c r="L32" s="20" t="s">
        <v>4</v>
      </c>
      <c r="M32" s="20" t="s">
        <v>138</v>
      </c>
      <c r="N32" s="14" t="s">
        <v>349</v>
      </c>
      <c r="O32" s="19"/>
      <c r="P32" s="17" t="s">
        <v>350</v>
      </c>
      <c r="Q32" s="14" t="s">
        <v>212</v>
      </c>
      <c r="R32" s="14" t="s">
        <v>213</v>
      </c>
      <c r="S32" s="14">
        <v>3014398395</v>
      </c>
      <c r="T32" s="18" t="s">
        <v>351</v>
      </c>
      <c r="U32" s="37" t="s">
        <v>352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133</v>
      </c>
      <c r="AA32" t="s">
        <v>353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customHeight="1">
      <c r="A33" s="20">
        <v>3671222</v>
      </c>
      <c r="B33" s="20" t="s">
        <v>63</v>
      </c>
      <c r="C33" s="20" t="s">
        <v>345</v>
      </c>
      <c r="D33" s="20" t="s">
        <v>346</v>
      </c>
      <c r="E33" s="20" t="s">
        <v>346</v>
      </c>
      <c r="F33" s="20" t="s">
        <v>354</v>
      </c>
      <c r="G33" s="20">
        <v>2026</v>
      </c>
      <c r="H33" s="20" t="s">
        <v>123</v>
      </c>
      <c r="I33" s="20" t="s">
        <v>124</v>
      </c>
      <c r="J33" s="20" t="s">
        <v>144</v>
      </c>
      <c r="K33" s="20"/>
      <c r="L33" s="20" t="s">
        <v>4</v>
      </c>
      <c r="M33" s="20" t="s">
        <v>138</v>
      </c>
      <c r="N33" s="14" t="s">
        <v>355</v>
      </c>
      <c r="O33" s="19"/>
      <c r="P33" s="17" t="s">
        <v>356</v>
      </c>
      <c r="Q33" s="14" t="s">
        <v>129</v>
      </c>
      <c r="R33" s="14" t="s">
        <v>181</v>
      </c>
      <c r="S33" s="14">
        <v>3004550101</v>
      </c>
      <c r="T33" s="18" t="s">
        <v>351</v>
      </c>
      <c r="U33" s="37" t="s">
        <v>357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243</v>
      </c>
      <c r="AC33" t="s">
        <v>358</v>
      </c>
      <c r="AD33" t="s">
        <v>58</v>
      </c>
      <c r="AE33">
        <v>2</v>
      </c>
      <c r="AF33" t="s">
        <v>50</v>
      </c>
      <c r="AM33"/>
      <c r="AN33" s="29"/>
    </row>
    <row r="34" spans="1:40" ht="18.95" customHeight="1">
      <c r="A34" s="20">
        <v>3671223</v>
      </c>
      <c r="B34" s="20" t="s">
        <v>63</v>
      </c>
      <c r="C34" s="20" t="s">
        <v>345</v>
      </c>
      <c r="D34" s="20" t="s">
        <v>346</v>
      </c>
      <c r="E34" s="20" t="s">
        <v>346</v>
      </c>
      <c r="F34" s="20" t="s">
        <v>359</v>
      </c>
      <c r="G34" s="20">
        <v>2026</v>
      </c>
      <c r="H34" s="20" t="s">
        <v>123</v>
      </c>
      <c r="I34" s="20" t="s">
        <v>124</v>
      </c>
      <c r="J34" s="20" t="s">
        <v>360</v>
      </c>
      <c r="K34" s="20"/>
      <c r="L34" s="20" t="s">
        <v>4</v>
      </c>
      <c r="M34" s="20" t="s">
        <v>138</v>
      </c>
      <c r="N34" s="14" t="s">
        <v>361</v>
      </c>
      <c r="O34" s="19"/>
      <c r="P34" s="17" t="s">
        <v>362</v>
      </c>
      <c r="Q34" s="14" t="s">
        <v>129</v>
      </c>
      <c r="R34" s="14" t="s">
        <v>130</v>
      </c>
      <c r="S34" s="14">
        <v>3146011459</v>
      </c>
      <c r="T34" s="18" t="s">
        <v>351</v>
      </c>
      <c r="U34" s="37" t="s">
        <v>363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133</v>
      </c>
      <c r="AA34" t="s">
        <v>364</v>
      </c>
      <c r="AD34" t="s">
        <v>58</v>
      </c>
      <c r="AE34">
        <v>2</v>
      </c>
      <c r="AF34" t="s">
        <v>32</v>
      </c>
      <c r="AM34"/>
      <c r="AN34" s="29"/>
    </row>
    <row r="35" spans="1:40" ht="18.95" customHeight="1">
      <c r="A35" s="20">
        <v>3671230</v>
      </c>
      <c r="B35" s="20" t="s">
        <v>63</v>
      </c>
      <c r="C35" s="20" t="s">
        <v>345</v>
      </c>
      <c r="D35" s="20" t="s">
        <v>346</v>
      </c>
      <c r="E35" s="20" t="s">
        <v>346</v>
      </c>
      <c r="F35" s="20" t="s">
        <v>365</v>
      </c>
      <c r="G35" s="20">
        <v>2026</v>
      </c>
      <c r="H35" s="20" t="s">
        <v>123</v>
      </c>
      <c r="I35" s="20" t="s">
        <v>124</v>
      </c>
      <c r="J35" s="20" t="s">
        <v>366</v>
      </c>
      <c r="K35" s="20"/>
      <c r="L35" s="20" t="s">
        <v>4</v>
      </c>
      <c r="M35" s="20" t="s">
        <v>138</v>
      </c>
      <c r="N35" s="14" t="s">
        <v>367</v>
      </c>
      <c r="O35" s="19"/>
      <c r="P35" s="17" t="s">
        <v>368</v>
      </c>
      <c r="Q35" s="14" t="s">
        <v>212</v>
      </c>
      <c r="R35" s="14" t="s">
        <v>213</v>
      </c>
      <c r="S35" s="14" t="s">
        <v>369</v>
      </c>
      <c r="T35" s="18" t="s">
        <v>351</v>
      </c>
      <c r="U35" s="37" t="s">
        <v>370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133</v>
      </c>
      <c r="AA35" t="s">
        <v>371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customHeight="1">
      <c r="A36" s="20">
        <v>3671239</v>
      </c>
      <c r="B36" s="14" t="s">
        <v>8</v>
      </c>
      <c r="C36" s="20" t="s">
        <v>81</v>
      </c>
      <c r="D36" s="20" t="s">
        <v>346</v>
      </c>
      <c r="E36" s="20" t="s">
        <v>346</v>
      </c>
      <c r="F36" s="20" t="s">
        <v>372</v>
      </c>
      <c r="G36" s="20">
        <v>2026</v>
      </c>
      <c r="H36" s="20" t="s">
        <v>123</v>
      </c>
      <c r="I36" s="20" t="s">
        <v>124</v>
      </c>
      <c r="J36" s="20" t="s">
        <v>373</v>
      </c>
      <c r="K36" s="20"/>
      <c r="L36" s="20" t="s">
        <v>4</v>
      </c>
      <c r="M36" s="20" t="s">
        <v>138</v>
      </c>
      <c r="N36" s="14" t="s">
        <v>374</v>
      </c>
      <c r="O36" s="19"/>
      <c r="P36" s="17" t="s">
        <v>375</v>
      </c>
      <c r="Q36" s="14" t="s">
        <v>212</v>
      </c>
      <c r="R36" s="14" t="s">
        <v>213</v>
      </c>
      <c r="S36" s="14">
        <v>3124174552</v>
      </c>
      <c r="T36" s="18">
        <v>3124174552</v>
      </c>
      <c r="U36" s="37" t="s">
        <v>376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133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customHeight="1">
      <c r="A37" s="20">
        <v>3671241</v>
      </c>
      <c r="B37" s="14" t="s">
        <v>8</v>
      </c>
      <c r="C37" s="20" t="s">
        <v>81</v>
      </c>
      <c r="D37" s="20" t="s">
        <v>346</v>
      </c>
      <c r="E37" s="20" t="s">
        <v>346</v>
      </c>
      <c r="F37" s="20" t="s">
        <v>377</v>
      </c>
      <c r="G37" s="20">
        <v>2026</v>
      </c>
      <c r="H37" s="20" t="s">
        <v>123</v>
      </c>
      <c r="I37" s="20" t="s">
        <v>124</v>
      </c>
      <c r="J37" s="20" t="s">
        <v>378</v>
      </c>
      <c r="K37" s="20"/>
      <c r="L37" s="20" t="s">
        <v>4</v>
      </c>
      <c r="M37" s="20" t="s">
        <v>138</v>
      </c>
      <c r="N37" s="14" t="s">
        <v>379</v>
      </c>
      <c r="O37" s="19"/>
      <c r="P37" s="17" t="s">
        <v>380</v>
      </c>
      <c r="Q37" s="14" t="s">
        <v>212</v>
      </c>
      <c r="R37" s="14" t="s">
        <v>213</v>
      </c>
      <c r="S37" s="14">
        <v>3151587722</v>
      </c>
      <c r="T37" s="18">
        <v>3114408944</v>
      </c>
      <c r="U37" s="37" t="s">
        <v>381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133</v>
      </c>
      <c r="AD37" t="s">
        <v>58</v>
      </c>
      <c r="AE37">
        <v>2</v>
      </c>
      <c r="AF37" t="s">
        <v>45</v>
      </c>
      <c r="AM37"/>
      <c r="AN37" s="29"/>
    </row>
    <row r="38" spans="1:40" ht="18.95" customHeight="1">
      <c r="A38" s="20">
        <v>3671242</v>
      </c>
      <c r="B38" s="14" t="s">
        <v>8</v>
      </c>
      <c r="C38" s="20" t="s">
        <v>81</v>
      </c>
      <c r="D38" s="20" t="s">
        <v>346</v>
      </c>
      <c r="E38" s="20" t="s">
        <v>346</v>
      </c>
      <c r="F38" s="20" t="s">
        <v>382</v>
      </c>
      <c r="G38" s="20">
        <v>2026</v>
      </c>
      <c r="H38" s="20" t="s">
        <v>123</v>
      </c>
      <c r="I38" s="20" t="s">
        <v>124</v>
      </c>
      <c r="J38" s="20" t="s">
        <v>383</v>
      </c>
      <c r="K38" s="20"/>
      <c r="L38" s="20" t="s">
        <v>4</v>
      </c>
      <c r="M38" s="20" t="s">
        <v>138</v>
      </c>
      <c r="N38" s="14" t="s">
        <v>384</v>
      </c>
      <c r="O38" s="19"/>
      <c r="P38" s="17" t="s">
        <v>385</v>
      </c>
      <c r="Q38" s="14" t="s">
        <v>129</v>
      </c>
      <c r="R38" s="14" t="s">
        <v>213</v>
      </c>
      <c r="S38" s="14">
        <v>3123849628</v>
      </c>
      <c r="T38" s="18">
        <v>3213048268</v>
      </c>
      <c r="U38" s="37" t="s">
        <v>386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133</v>
      </c>
      <c r="AD38" t="s">
        <v>58</v>
      </c>
      <c r="AE38">
        <v>2</v>
      </c>
      <c r="AF38" t="s">
        <v>45</v>
      </c>
      <c r="AM38"/>
      <c r="AN38" s="29"/>
    </row>
    <row r="39" spans="1:40" ht="18.95" customHeight="1">
      <c r="A39" s="20">
        <v>3671243</v>
      </c>
      <c r="B39" s="14" t="s">
        <v>8</v>
      </c>
      <c r="C39" s="20" t="s">
        <v>81</v>
      </c>
      <c r="D39" s="20" t="s">
        <v>346</v>
      </c>
      <c r="E39" s="20" t="s">
        <v>346</v>
      </c>
      <c r="F39" s="20" t="s">
        <v>387</v>
      </c>
      <c r="G39" s="20">
        <v>2026</v>
      </c>
      <c r="H39" s="20" t="s">
        <v>123</v>
      </c>
      <c r="I39" s="20" t="s">
        <v>124</v>
      </c>
      <c r="J39" s="20" t="s">
        <v>388</v>
      </c>
      <c r="K39" s="20"/>
      <c r="L39" s="20" t="s">
        <v>4</v>
      </c>
      <c r="M39" s="20" t="s">
        <v>138</v>
      </c>
      <c r="N39" s="14" t="s">
        <v>389</v>
      </c>
      <c r="O39" s="19"/>
      <c r="P39" s="17" t="s">
        <v>390</v>
      </c>
      <c r="Q39" s="14" t="s">
        <v>212</v>
      </c>
      <c r="R39" s="14" t="s">
        <v>130</v>
      </c>
      <c r="S39" s="14">
        <v>3144802665</v>
      </c>
      <c r="T39" s="18">
        <v>3144802665</v>
      </c>
      <c r="U39" s="37" t="s">
        <v>391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133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L39" t="s">
        <v>57</v>
      </c>
      <c r="AM39"/>
      <c r="AN39" s="47" t="s">
        <v>392</v>
      </c>
    </row>
    <row r="40" spans="1:40" ht="18.95" customHeight="1">
      <c r="A40" s="20">
        <v>3671245</v>
      </c>
      <c r="B40" s="14" t="s">
        <v>8</v>
      </c>
      <c r="C40" s="20" t="s">
        <v>81</v>
      </c>
      <c r="D40" s="20" t="s">
        <v>346</v>
      </c>
      <c r="E40" s="20" t="s">
        <v>346</v>
      </c>
      <c r="F40" s="20" t="s">
        <v>393</v>
      </c>
      <c r="G40" s="20">
        <v>2026</v>
      </c>
      <c r="H40" s="20" t="s">
        <v>123</v>
      </c>
      <c r="I40" s="20" t="s">
        <v>124</v>
      </c>
      <c r="J40" s="20" t="s">
        <v>394</v>
      </c>
      <c r="K40" s="20"/>
      <c r="L40" s="20" t="s">
        <v>4</v>
      </c>
      <c r="M40" s="20" t="s">
        <v>138</v>
      </c>
      <c r="N40" s="14" t="s">
        <v>395</v>
      </c>
      <c r="O40" s="19"/>
      <c r="P40" s="17" t="s">
        <v>396</v>
      </c>
      <c r="Q40" s="14" t="s">
        <v>155</v>
      </c>
      <c r="R40" s="14" t="s">
        <v>130</v>
      </c>
      <c r="S40" s="14">
        <v>3168329200</v>
      </c>
      <c r="T40" s="18">
        <v>3168329200</v>
      </c>
      <c r="U40" s="37" t="s">
        <v>397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133</v>
      </c>
      <c r="AD40" t="s">
        <v>58</v>
      </c>
      <c r="AE40">
        <v>2</v>
      </c>
      <c r="AF40" t="s">
        <v>45</v>
      </c>
      <c r="AM40"/>
      <c r="AN40" s="29"/>
    </row>
    <row r="41" spans="1:40" ht="18.95" customHeight="1">
      <c r="A41" s="20">
        <v>3671253</v>
      </c>
      <c r="B41" s="14" t="s">
        <v>8</v>
      </c>
      <c r="C41" s="20" t="s">
        <v>81</v>
      </c>
      <c r="D41" s="20" t="s">
        <v>346</v>
      </c>
      <c r="E41" s="20" t="s">
        <v>346</v>
      </c>
      <c r="F41" s="20" t="s">
        <v>398</v>
      </c>
      <c r="G41" s="20">
        <v>2026</v>
      </c>
      <c r="H41" s="20" t="s">
        <v>123</v>
      </c>
      <c r="I41" s="20" t="s">
        <v>124</v>
      </c>
      <c r="J41" s="20" t="s">
        <v>399</v>
      </c>
      <c r="K41" s="20"/>
      <c r="L41" s="20" t="s">
        <v>4</v>
      </c>
      <c r="M41" s="20" t="s">
        <v>138</v>
      </c>
      <c r="N41" s="14" t="s">
        <v>400</v>
      </c>
      <c r="O41" s="19"/>
      <c r="P41" s="17" t="s">
        <v>401</v>
      </c>
      <c r="Q41" s="14" t="s">
        <v>212</v>
      </c>
      <c r="R41" s="14" t="s">
        <v>130</v>
      </c>
      <c r="S41" s="14">
        <v>3105726862</v>
      </c>
      <c r="T41" s="18">
        <v>3105726862</v>
      </c>
      <c r="U41" s="37" t="s">
        <v>402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243</v>
      </c>
      <c r="AC41" t="s">
        <v>403</v>
      </c>
      <c r="AD41" t="s">
        <v>58</v>
      </c>
      <c r="AE41">
        <v>2</v>
      </c>
      <c r="AF41" t="s">
        <v>50</v>
      </c>
      <c r="AM41"/>
      <c r="AN41" s="29"/>
    </row>
    <row r="42" spans="1:40" ht="18.95" customHeight="1">
      <c r="A42" s="20">
        <v>3676125</v>
      </c>
      <c r="B42" s="20" t="s">
        <v>66</v>
      </c>
      <c r="C42" s="20" t="s">
        <v>404</v>
      </c>
      <c r="D42" s="20" t="s">
        <v>405</v>
      </c>
      <c r="E42" s="20" t="s">
        <v>405</v>
      </c>
      <c r="F42" s="20" t="s">
        <v>406</v>
      </c>
      <c r="G42" s="20">
        <v>2026</v>
      </c>
      <c r="H42" s="20" t="s">
        <v>123</v>
      </c>
      <c r="I42" s="20" t="s">
        <v>124</v>
      </c>
      <c r="J42" s="20" t="s">
        <v>407</v>
      </c>
      <c r="K42" s="20"/>
      <c r="L42" s="20" t="s">
        <v>5</v>
      </c>
      <c r="M42" s="20" t="s">
        <v>126</v>
      </c>
      <c r="N42" s="14" t="s">
        <v>408</v>
      </c>
      <c r="O42" s="19"/>
      <c r="P42" s="17" t="s">
        <v>409</v>
      </c>
      <c r="Q42" s="14" t="s">
        <v>212</v>
      </c>
      <c r="R42" s="14" t="s">
        <v>213</v>
      </c>
      <c r="S42" s="14">
        <v>3160181684</v>
      </c>
      <c r="T42" s="18" t="s">
        <v>410</v>
      </c>
      <c r="U42" s="37" t="s">
        <v>411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133</v>
      </c>
      <c r="AD42" t="s">
        <v>58</v>
      </c>
      <c r="AE42">
        <v>2</v>
      </c>
      <c r="AF42" t="s">
        <v>29</v>
      </c>
      <c r="AM42"/>
      <c r="AN42" s="29"/>
    </row>
    <row r="43" spans="1:40" ht="18.95" customHeight="1">
      <c r="A43" s="20">
        <v>3676210</v>
      </c>
      <c r="B43" s="20" t="s">
        <v>65</v>
      </c>
      <c r="C43" s="20" t="s">
        <v>412</v>
      </c>
      <c r="D43" s="20" t="s">
        <v>405</v>
      </c>
      <c r="E43" s="20" t="s">
        <v>405</v>
      </c>
      <c r="F43" s="20" t="s">
        <v>413</v>
      </c>
      <c r="G43" s="20">
        <v>2026</v>
      </c>
      <c r="H43" s="20" t="s">
        <v>123</v>
      </c>
      <c r="I43" s="20" t="s">
        <v>124</v>
      </c>
      <c r="J43" s="20" t="s">
        <v>414</v>
      </c>
      <c r="K43" s="20"/>
      <c r="L43" s="20" t="s">
        <v>4</v>
      </c>
      <c r="M43" s="20" t="s">
        <v>138</v>
      </c>
      <c r="N43" s="14" t="s">
        <v>415</v>
      </c>
      <c r="O43" s="19"/>
      <c r="P43" s="17" t="s">
        <v>416</v>
      </c>
      <c r="Q43" s="14" t="s">
        <v>129</v>
      </c>
      <c r="R43" s="14" t="s">
        <v>130</v>
      </c>
      <c r="S43" s="14" t="s">
        <v>417</v>
      </c>
      <c r="T43" s="18" t="s">
        <v>418</v>
      </c>
      <c r="U43" s="37" t="s">
        <v>419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133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customHeight="1">
      <c r="A44" s="20">
        <v>3676236</v>
      </c>
      <c r="B44" s="20" t="s">
        <v>67</v>
      </c>
      <c r="C44" s="20" t="s">
        <v>420</v>
      </c>
      <c r="D44" s="20" t="s">
        <v>405</v>
      </c>
      <c r="E44" s="20" t="s">
        <v>405</v>
      </c>
      <c r="F44" s="20" t="s">
        <v>421</v>
      </c>
      <c r="G44" s="20">
        <v>2026</v>
      </c>
      <c r="H44" s="20" t="s">
        <v>123</v>
      </c>
      <c r="I44" s="20" t="s">
        <v>124</v>
      </c>
      <c r="J44" s="20" t="s">
        <v>422</v>
      </c>
      <c r="K44" s="20"/>
      <c r="L44" s="20" t="s">
        <v>4</v>
      </c>
      <c r="M44" s="20" t="s">
        <v>138</v>
      </c>
      <c r="N44" s="14" t="s">
        <v>423</v>
      </c>
      <c r="O44" s="19"/>
      <c r="P44" s="17" t="s">
        <v>424</v>
      </c>
      <c r="Q44" s="14" t="s">
        <v>212</v>
      </c>
      <c r="R44" s="14" t="s">
        <v>130</v>
      </c>
      <c r="S44" s="14">
        <v>3102267246</v>
      </c>
      <c r="T44" s="18" t="s">
        <v>191</v>
      </c>
      <c r="U44" s="37" t="s">
        <v>425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133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426</v>
      </c>
    </row>
    <row r="45" spans="1:40" ht="18.95" customHeight="1">
      <c r="A45" s="20">
        <v>3676247</v>
      </c>
      <c r="B45" s="20" t="s">
        <v>13</v>
      </c>
      <c r="C45" s="20" t="s">
        <v>120</v>
      </c>
      <c r="D45" s="20" t="s">
        <v>405</v>
      </c>
      <c r="E45" s="20" t="s">
        <v>405</v>
      </c>
      <c r="F45" s="20" t="s">
        <v>427</v>
      </c>
      <c r="G45" s="20">
        <v>2026</v>
      </c>
      <c r="H45" s="20" t="s">
        <v>123</v>
      </c>
      <c r="I45" s="20" t="s">
        <v>124</v>
      </c>
      <c r="J45" s="20" t="s">
        <v>428</v>
      </c>
      <c r="K45" s="20" t="s">
        <v>429</v>
      </c>
      <c r="L45" s="20" t="s">
        <v>5</v>
      </c>
      <c r="M45" s="20" t="s">
        <v>126</v>
      </c>
      <c r="N45" s="14" t="s">
        <v>430</v>
      </c>
      <c r="O45" s="19"/>
      <c r="P45" s="17" t="s">
        <v>431</v>
      </c>
      <c r="Q45" s="14" t="s">
        <v>129</v>
      </c>
      <c r="R45" s="14" t="s">
        <v>181</v>
      </c>
      <c r="S45" s="14">
        <v>3209500506</v>
      </c>
      <c r="T45" s="18" t="s">
        <v>432</v>
      </c>
      <c r="U45" s="37" t="s">
        <v>433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133</v>
      </c>
      <c r="AD45" t="s">
        <v>58</v>
      </c>
      <c r="AE45">
        <v>2</v>
      </c>
      <c r="AF45" t="s">
        <v>29</v>
      </c>
      <c r="AM45"/>
      <c r="AN45" s="29"/>
    </row>
    <row r="46" spans="1:40" ht="18.95" customHeight="1">
      <c r="A46" s="20">
        <v>3676328</v>
      </c>
      <c r="B46" s="20" t="s">
        <v>80</v>
      </c>
      <c r="C46" s="20" t="s">
        <v>434</v>
      </c>
      <c r="D46" s="20" t="s">
        <v>405</v>
      </c>
      <c r="E46" s="20" t="s">
        <v>405</v>
      </c>
      <c r="F46" s="20" t="s">
        <v>435</v>
      </c>
      <c r="G46" s="20">
        <v>2026</v>
      </c>
      <c r="H46" s="20" t="s">
        <v>123</v>
      </c>
      <c r="I46" s="20" t="s">
        <v>124</v>
      </c>
      <c r="J46" s="20" t="s">
        <v>436</v>
      </c>
      <c r="K46" s="20"/>
      <c r="L46" s="20" t="s">
        <v>5</v>
      </c>
      <c r="M46" s="20" t="s">
        <v>126</v>
      </c>
      <c r="N46" s="14" t="s">
        <v>437</v>
      </c>
      <c r="O46" s="19"/>
      <c r="P46" s="17" t="s">
        <v>438</v>
      </c>
      <c r="Q46" s="14" t="s">
        <v>155</v>
      </c>
      <c r="R46" s="14" t="s">
        <v>163</v>
      </c>
      <c r="S46" s="14" t="s">
        <v>439</v>
      </c>
      <c r="T46" s="18" t="s">
        <v>440</v>
      </c>
      <c r="U46" s="37" t="s">
        <v>441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133</v>
      </c>
      <c r="AD46" t="s">
        <v>58</v>
      </c>
      <c r="AE46">
        <v>2</v>
      </c>
      <c r="AF46" t="s">
        <v>49</v>
      </c>
      <c r="AM46"/>
      <c r="AN46" s="29"/>
    </row>
    <row r="47" spans="1:40" ht="18.95" customHeight="1">
      <c r="A47" s="20">
        <v>3676345</v>
      </c>
      <c r="B47" s="20" t="s">
        <v>80</v>
      </c>
      <c r="C47" s="20" t="s">
        <v>434</v>
      </c>
      <c r="D47" s="20" t="s">
        <v>405</v>
      </c>
      <c r="E47" s="20" t="s">
        <v>405</v>
      </c>
      <c r="F47" s="20" t="s">
        <v>442</v>
      </c>
      <c r="G47" s="20">
        <v>2026</v>
      </c>
      <c r="H47" s="20" t="s">
        <v>123</v>
      </c>
      <c r="I47" s="20" t="s">
        <v>124</v>
      </c>
      <c r="J47" s="20" t="s">
        <v>443</v>
      </c>
      <c r="K47" s="20"/>
      <c r="L47" s="20" t="s">
        <v>5</v>
      </c>
      <c r="M47" s="20" t="s">
        <v>126</v>
      </c>
      <c r="N47" s="14" t="s">
        <v>444</v>
      </c>
      <c r="O47" s="19"/>
      <c r="P47" s="14" t="s">
        <v>445</v>
      </c>
      <c r="Q47" s="14" t="s">
        <v>129</v>
      </c>
      <c r="R47" s="14" t="s">
        <v>213</v>
      </c>
      <c r="S47" s="14" t="s">
        <v>446</v>
      </c>
      <c r="T47" s="18" t="s">
        <v>447</v>
      </c>
      <c r="U47" s="37" t="s">
        <v>448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133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customHeight="1">
      <c r="A48" s="20">
        <v>3676323</v>
      </c>
      <c r="B48" s="20" t="s">
        <v>66</v>
      </c>
      <c r="C48" s="20" t="s">
        <v>404</v>
      </c>
      <c r="D48" s="20" t="s">
        <v>405</v>
      </c>
      <c r="E48" s="20" t="s">
        <v>405</v>
      </c>
      <c r="F48" s="20" t="s">
        <v>449</v>
      </c>
      <c r="G48" s="20">
        <v>2026</v>
      </c>
      <c r="H48" s="20" t="s">
        <v>123</v>
      </c>
      <c r="I48" s="20" t="s">
        <v>124</v>
      </c>
      <c r="J48" s="20" t="s">
        <v>450</v>
      </c>
      <c r="K48" s="20"/>
      <c r="L48" s="20" t="s">
        <v>5</v>
      </c>
      <c r="M48" s="20" t="s">
        <v>126</v>
      </c>
      <c r="N48" s="14" t="s">
        <v>451</v>
      </c>
      <c r="O48" s="19"/>
      <c r="P48" s="14" t="s">
        <v>452</v>
      </c>
      <c r="Q48" s="14" t="s">
        <v>129</v>
      </c>
      <c r="R48" s="14" t="s">
        <v>130</v>
      </c>
      <c r="S48" s="14" t="s">
        <v>453</v>
      </c>
      <c r="T48" s="18" t="s">
        <v>454</v>
      </c>
      <c r="U48" s="37" t="s">
        <v>455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133</v>
      </c>
      <c r="AD48" t="s">
        <v>58</v>
      </c>
      <c r="AE48">
        <v>2</v>
      </c>
      <c r="AF48" t="s">
        <v>29</v>
      </c>
      <c r="AM48"/>
      <c r="AN48" s="29"/>
    </row>
    <row r="49" spans="1:40" ht="18.95" customHeight="1">
      <c r="A49" s="20">
        <v>3679961</v>
      </c>
      <c r="B49" s="20" t="s">
        <v>71</v>
      </c>
      <c r="C49" s="20"/>
      <c r="D49" s="20" t="s">
        <v>456</v>
      </c>
      <c r="E49" s="20" t="s">
        <v>456</v>
      </c>
      <c r="F49" s="20" t="s">
        <v>457</v>
      </c>
      <c r="G49" s="20">
        <v>2026</v>
      </c>
      <c r="H49" s="20" t="s">
        <v>123</v>
      </c>
      <c r="I49" s="20" t="s">
        <v>124</v>
      </c>
      <c r="J49" s="20" t="s">
        <v>458</v>
      </c>
      <c r="K49" s="20"/>
      <c r="L49" s="20" t="s">
        <v>4</v>
      </c>
      <c r="M49" s="20" t="s">
        <v>138</v>
      </c>
      <c r="N49" s="22" t="s">
        <v>459</v>
      </c>
      <c r="O49" s="19" t="s">
        <v>460</v>
      </c>
      <c r="P49" s="17" t="s">
        <v>461</v>
      </c>
      <c r="Q49" s="14" t="s">
        <v>212</v>
      </c>
      <c r="R49" s="14" t="s">
        <v>213</v>
      </c>
      <c r="S49" s="14">
        <v>3212818265</v>
      </c>
      <c r="T49" s="18">
        <v>3214550461</v>
      </c>
      <c r="U49" s="37" t="s">
        <v>462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133</v>
      </c>
      <c r="AD49" t="s">
        <v>58</v>
      </c>
      <c r="AE49">
        <v>2</v>
      </c>
      <c r="AF49" t="s">
        <v>29</v>
      </c>
      <c r="AM49"/>
      <c r="AN49" s="29"/>
    </row>
    <row r="50" spans="1:40" ht="18.95" customHeight="1">
      <c r="A50" s="20">
        <v>3679980</v>
      </c>
      <c r="B50" s="20" t="s">
        <v>71</v>
      </c>
      <c r="C50" s="20"/>
      <c r="D50" s="20" t="s">
        <v>456</v>
      </c>
      <c r="E50" s="20" t="s">
        <v>456</v>
      </c>
      <c r="F50" s="20" t="s">
        <v>463</v>
      </c>
      <c r="G50" s="20">
        <v>2026</v>
      </c>
      <c r="H50" s="20" t="s">
        <v>123</v>
      </c>
      <c r="I50" s="20" t="s">
        <v>124</v>
      </c>
      <c r="J50" s="20" t="s">
        <v>464</v>
      </c>
      <c r="K50" s="20"/>
      <c r="L50" s="20" t="s">
        <v>4</v>
      </c>
      <c r="M50" s="20" t="s">
        <v>138</v>
      </c>
      <c r="N50" s="22" t="s">
        <v>465</v>
      </c>
      <c r="O50" s="19" t="s">
        <v>460</v>
      </c>
      <c r="P50" s="17" t="s">
        <v>466</v>
      </c>
      <c r="Q50" s="14" t="s">
        <v>155</v>
      </c>
      <c r="R50" s="14" t="s">
        <v>467</v>
      </c>
      <c r="S50" s="14">
        <v>3144553626</v>
      </c>
      <c r="T50" s="18" t="s">
        <v>468</v>
      </c>
      <c r="U50" s="37" t="s">
        <v>469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133</v>
      </c>
      <c r="AD50" t="s">
        <v>58</v>
      </c>
      <c r="AE50">
        <v>2</v>
      </c>
      <c r="AF50" t="s">
        <v>29</v>
      </c>
      <c r="AM50"/>
      <c r="AN50" s="29"/>
    </row>
    <row r="51" spans="1:40" ht="18.95" customHeight="1">
      <c r="A51" s="20">
        <v>3679984</v>
      </c>
      <c r="B51" s="20" t="s">
        <v>71</v>
      </c>
      <c r="C51" s="20"/>
      <c r="D51" s="20" t="s">
        <v>456</v>
      </c>
      <c r="E51" s="20" t="s">
        <v>456</v>
      </c>
      <c r="F51" s="20" t="s">
        <v>470</v>
      </c>
      <c r="G51" s="20">
        <v>2026</v>
      </c>
      <c r="H51" s="20" t="s">
        <v>123</v>
      </c>
      <c r="I51" s="20" t="s">
        <v>124</v>
      </c>
      <c r="J51" s="20" t="s">
        <v>471</v>
      </c>
      <c r="K51" s="20"/>
      <c r="L51" s="20" t="s">
        <v>4</v>
      </c>
      <c r="M51" s="20" t="s">
        <v>138</v>
      </c>
      <c r="N51" s="22" t="s">
        <v>472</v>
      </c>
      <c r="O51" s="19" t="s">
        <v>460</v>
      </c>
      <c r="P51" s="17" t="s">
        <v>473</v>
      </c>
      <c r="Q51" s="14" t="s">
        <v>155</v>
      </c>
      <c r="R51" s="14" t="s">
        <v>467</v>
      </c>
      <c r="S51" s="14">
        <v>3118109385</v>
      </c>
      <c r="T51" s="18" t="s">
        <v>474</v>
      </c>
      <c r="U51" s="37" t="s">
        <v>475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133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customHeight="1">
      <c r="A52" s="20">
        <v>3680011</v>
      </c>
      <c r="B52" s="20" t="s">
        <v>61</v>
      </c>
      <c r="C52" s="20" t="s">
        <v>476</v>
      </c>
      <c r="D52" s="20" t="s">
        <v>456</v>
      </c>
      <c r="E52" s="20" t="s">
        <v>456</v>
      </c>
      <c r="F52" s="20" t="s">
        <v>477</v>
      </c>
      <c r="G52" s="20">
        <v>2026</v>
      </c>
      <c r="H52" s="20" t="s">
        <v>123</v>
      </c>
      <c r="I52" s="20" t="s">
        <v>124</v>
      </c>
      <c r="J52" s="20" t="s">
        <v>478</v>
      </c>
      <c r="K52" s="20"/>
      <c r="L52" s="20" t="s">
        <v>4</v>
      </c>
      <c r="M52" s="20" t="s">
        <v>138</v>
      </c>
      <c r="N52" s="22"/>
      <c r="O52" s="19" t="s">
        <v>460</v>
      </c>
      <c r="P52" s="17" t="s">
        <v>479</v>
      </c>
      <c r="Q52" s="14" t="s">
        <v>129</v>
      </c>
      <c r="R52" s="14" t="s">
        <v>130</v>
      </c>
      <c r="S52" s="14" t="s">
        <v>480</v>
      </c>
      <c r="T52" s="18" t="s">
        <v>481</v>
      </c>
      <c r="U52" s="37" t="s">
        <v>482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133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customHeight="1">
      <c r="A53" s="20">
        <v>3680024</v>
      </c>
      <c r="B53" s="20" t="s">
        <v>14</v>
      </c>
      <c r="C53" s="20" t="s">
        <v>167</v>
      </c>
      <c r="D53" s="20" t="s">
        <v>456</v>
      </c>
      <c r="E53" s="20" t="s">
        <v>456</v>
      </c>
      <c r="F53" s="20" t="s">
        <v>483</v>
      </c>
      <c r="G53" s="20">
        <v>2026</v>
      </c>
      <c r="H53" s="20" t="s">
        <v>123</v>
      </c>
      <c r="I53" s="20" t="s">
        <v>124</v>
      </c>
      <c r="J53" s="20" t="s">
        <v>484</v>
      </c>
      <c r="K53" s="20"/>
      <c r="L53" s="20" t="s">
        <v>6</v>
      </c>
      <c r="M53" s="20" t="s">
        <v>152</v>
      </c>
      <c r="N53" s="22" t="s">
        <v>485</v>
      </c>
      <c r="O53" s="19" t="s">
        <v>486</v>
      </c>
      <c r="P53" s="17" t="s">
        <v>487</v>
      </c>
      <c r="Q53" s="14" t="s">
        <v>129</v>
      </c>
      <c r="R53" s="14" t="s">
        <v>488</v>
      </c>
      <c r="S53" s="14">
        <v>3137456421</v>
      </c>
      <c r="T53" s="18" t="s">
        <v>313</v>
      </c>
      <c r="U53" s="37" t="s">
        <v>489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133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customHeight="1">
      <c r="A54" s="20">
        <v>3680050</v>
      </c>
      <c r="B54" s="20" t="s">
        <v>61</v>
      </c>
      <c r="C54" s="20" t="s">
        <v>476</v>
      </c>
      <c r="D54" s="20" t="s">
        <v>456</v>
      </c>
      <c r="E54" s="20" t="s">
        <v>456</v>
      </c>
      <c r="F54" s="20" t="s">
        <v>490</v>
      </c>
      <c r="G54" s="20">
        <v>2026</v>
      </c>
      <c r="H54" s="20" t="s">
        <v>123</v>
      </c>
      <c r="I54" s="20" t="s">
        <v>124</v>
      </c>
      <c r="J54" s="20" t="s">
        <v>491</v>
      </c>
      <c r="K54" s="20"/>
      <c r="L54" s="20" t="s">
        <v>4</v>
      </c>
      <c r="M54" s="20" t="s">
        <v>138</v>
      </c>
      <c r="N54" s="22" t="s">
        <v>492</v>
      </c>
      <c r="O54" s="19" t="s">
        <v>460</v>
      </c>
      <c r="P54" s="17" t="s">
        <v>493</v>
      </c>
      <c r="Q54" s="14" t="s">
        <v>129</v>
      </c>
      <c r="R54" s="14" t="s">
        <v>130</v>
      </c>
      <c r="S54" s="14">
        <v>3213475722</v>
      </c>
      <c r="T54" s="18">
        <v>3057995626</v>
      </c>
      <c r="U54" s="37" t="s">
        <v>494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133</v>
      </c>
      <c r="AA54" t="s">
        <v>495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customHeight="1">
      <c r="A55" s="20">
        <v>3680054</v>
      </c>
      <c r="B55" s="20" t="s">
        <v>61</v>
      </c>
      <c r="C55" s="20" t="s">
        <v>476</v>
      </c>
      <c r="D55" s="20" t="s">
        <v>456</v>
      </c>
      <c r="E55" s="20" t="s">
        <v>456</v>
      </c>
      <c r="F55" s="20" t="s">
        <v>496</v>
      </c>
      <c r="G55" s="20">
        <v>2026</v>
      </c>
      <c r="H55" s="20" t="s">
        <v>123</v>
      </c>
      <c r="I55" s="20" t="s">
        <v>124</v>
      </c>
      <c r="J55" s="20" t="s">
        <v>497</v>
      </c>
      <c r="K55" s="20"/>
      <c r="L55" s="20" t="s">
        <v>4</v>
      </c>
      <c r="M55" s="20" t="s">
        <v>138</v>
      </c>
      <c r="N55" s="22" t="s">
        <v>498</v>
      </c>
      <c r="O55" s="19" t="s">
        <v>460</v>
      </c>
      <c r="P55" s="17" t="s">
        <v>499</v>
      </c>
      <c r="Q55" s="14" t="s">
        <v>212</v>
      </c>
      <c r="R55" s="14" t="s">
        <v>213</v>
      </c>
      <c r="S55" s="14">
        <v>3143704135</v>
      </c>
      <c r="T55" s="18" t="s">
        <v>500</v>
      </c>
      <c r="U55" s="37" t="s">
        <v>501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133</v>
      </c>
      <c r="AA55" t="s">
        <v>502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customHeight="1">
      <c r="A56" s="20">
        <v>3680055</v>
      </c>
      <c r="B56" s="20" t="s">
        <v>61</v>
      </c>
      <c r="C56" s="20" t="s">
        <v>476</v>
      </c>
      <c r="D56" s="20" t="s">
        <v>456</v>
      </c>
      <c r="E56" s="20" t="s">
        <v>456</v>
      </c>
      <c r="F56" s="20" t="s">
        <v>503</v>
      </c>
      <c r="G56" s="20">
        <v>2026</v>
      </c>
      <c r="H56" s="20" t="s">
        <v>123</v>
      </c>
      <c r="I56" s="20" t="s">
        <v>124</v>
      </c>
      <c r="J56" s="20" t="s">
        <v>504</v>
      </c>
      <c r="K56" s="20"/>
      <c r="L56" s="20" t="s">
        <v>4</v>
      </c>
      <c r="M56" s="20" t="s">
        <v>138</v>
      </c>
      <c r="N56" s="22" t="s">
        <v>505</v>
      </c>
      <c r="O56" s="19" t="s">
        <v>506</v>
      </c>
      <c r="P56" s="17" t="s">
        <v>507</v>
      </c>
      <c r="Q56" s="14" t="s">
        <v>212</v>
      </c>
      <c r="R56" s="14" t="s">
        <v>213</v>
      </c>
      <c r="S56" s="14">
        <v>3154965337</v>
      </c>
      <c r="T56" s="18" t="s">
        <v>500</v>
      </c>
      <c r="U56" s="37" t="s">
        <v>508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133</v>
      </c>
      <c r="AA56" t="s">
        <v>509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customHeight="1">
      <c r="A57" s="20">
        <v>3679995</v>
      </c>
      <c r="B57" s="20" t="s">
        <v>71</v>
      </c>
      <c r="C57" s="20"/>
      <c r="D57" s="20" t="s">
        <v>456</v>
      </c>
      <c r="E57" s="20" t="s">
        <v>456</v>
      </c>
      <c r="F57" s="20" t="s">
        <v>510</v>
      </c>
      <c r="G57" s="20">
        <v>2026</v>
      </c>
      <c r="H57" s="20" t="s">
        <v>123</v>
      </c>
      <c r="I57" s="20" t="s">
        <v>124</v>
      </c>
      <c r="J57" s="20" t="s">
        <v>511</v>
      </c>
      <c r="K57" s="20"/>
      <c r="L57" s="20" t="s">
        <v>4</v>
      </c>
      <c r="M57" s="20" t="s">
        <v>138</v>
      </c>
      <c r="N57" s="22" t="s">
        <v>512</v>
      </c>
      <c r="O57" s="19" t="s">
        <v>460</v>
      </c>
      <c r="P57" s="17" t="s">
        <v>513</v>
      </c>
      <c r="Q57" s="14" t="s">
        <v>212</v>
      </c>
      <c r="R57" s="14" t="s">
        <v>213</v>
      </c>
      <c r="S57" s="14">
        <v>3132969330</v>
      </c>
      <c r="T57" s="18" t="s">
        <v>514</v>
      </c>
      <c r="U57" s="37" t="s">
        <v>515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133</v>
      </c>
      <c r="AA57" t="s">
        <v>516</v>
      </c>
      <c r="AE57">
        <v>2</v>
      </c>
      <c r="AG57" t="s">
        <v>28</v>
      </c>
      <c r="AM57"/>
      <c r="AN57" s="29"/>
    </row>
    <row r="58" spans="1:40" ht="18.95" customHeight="1">
      <c r="A58" s="20">
        <v>3683298</v>
      </c>
      <c r="B58" s="20" t="s">
        <v>20</v>
      </c>
      <c r="C58" s="20" t="s">
        <v>149</v>
      </c>
      <c r="D58" s="20" t="s">
        <v>517</v>
      </c>
      <c r="E58" s="20" t="s">
        <v>517</v>
      </c>
      <c r="F58" s="20" t="s">
        <v>518</v>
      </c>
      <c r="G58" s="20">
        <v>2026</v>
      </c>
      <c r="H58" s="20" t="s">
        <v>123</v>
      </c>
      <c r="I58" s="20" t="s">
        <v>124</v>
      </c>
      <c r="J58" s="20" t="s">
        <v>519</v>
      </c>
      <c r="K58" s="20"/>
      <c r="L58" s="20" t="s">
        <v>6</v>
      </c>
      <c r="M58" s="20" t="s">
        <v>152</v>
      </c>
      <c r="N58" s="22" t="s">
        <v>520</v>
      </c>
      <c r="O58" s="19" t="s">
        <v>486</v>
      </c>
      <c r="P58" s="17" t="s">
        <v>521</v>
      </c>
      <c r="Q58" s="14" t="s">
        <v>155</v>
      </c>
      <c r="R58" s="14" t="s">
        <v>522</v>
      </c>
      <c r="S58" s="14" t="s">
        <v>523</v>
      </c>
      <c r="T58" s="18" t="s">
        <v>524</v>
      </c>
      <c r="U58" s="37" t="s">
        <v>525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243</v>
      </c>
      <c r="AA58" t="s">
        <v>526</v>
      </c>
      <c r="AC58" t="s">
        <v>527</v>
      </c>
      <c r="AD58" t="s">
        <v>58</v>
      </c>
      <c r="AE58">
        <v>2</v>
      </c>
      <c r="AF58" t="s">
        <v>50</v>
      </c>
      <c r="AM58"/>
      <c r="AN58" s="29"/>
    </row>
    <row r="59" spans="1:40" ht="18.95" customHeight="1">
      <c r="A59" s="20">
        <v>3683348</v>
      </c>
      <c r="B59" s="20" t="s">
        <v>68</v>
      </c>
      <c r="C59" s="20" t="s">
        <v>528</v>
      </c>
      <c r="D59" s="20" t="s">
        <v>517</v>
      </c>
      <c r="E59" s="20" t="s">
        <v>517</v>
      </c>
      <c r="F59" s="20" t="s">
        <v>529</v>
      </c>
      <c r="G59" s="20">
        <v>2026</v>
      </c>
      <c r="H59" s="20" t="s">
        <v>123</v>
      </c>
      <c r="I59" s="20" t="s">
        <v>124</v>
      </c>
      <c r="J59" s="20" t="s">
        <v>530</v>
      </c>
      <c r="K59" s="20" t="s">
        <v>531</v>
      </c>
      <c r="L59" s="20" t="s">
        <v>4</v>
      </c>
      <c r="M59" s="20" t="s">
        <v>138</v>
      </c>
      <c r="N59" s="22" t="s">
        <v>532</v>
      </c>
      <c r="O59" s="19" t="s">
        <v>460</v>
      </c>
      <c r="P59" s="17" t="s">
        <v>533</v>
      </c>
      <c r="Q59" s="14" t="s">
        <v>155</v>
      </c>
      <c r="R59" s="14" t="s">
        <v>467</v>
      </c>
      <c r="S59" s="14">
        <v>3214903514</v>
      </c>
      <c r="T59" s="18" t="s">
        <v>534</v>
      </c>
      <c r="U59" s="37" t="s">
        <v>535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133</v>
      </c>
      <c r="AA59" t="s">
        <v>536</v>
      </c>
      <c r="AD59" t="s">
        <v>58</v>
      </c>
      <c r="AE59">
        <v>2</v>
      </c>
      <c r="AF59" t="s">
        <v>45</v>
      </c>
      <c r="AM59"/>
      <c r="AN59" s="29"/>
    </row>
    <row r="60" spans="1:40" ht="18.95" customHeight="1">
      <c r="A60" s="20">
        <v>3683607</v>
      </c>
      <c r="B60" s="14" t="s">
        <v>8</v>
      </c>
      <c r="C60" s="20" t="s">
        <v>81</v>
      </c>
      <c r="D60" s="20" t="s">
        <v>517</v>
      </c>
      <c r="E60" s="20" t="s">
        <v>517</v>
      </c>
      <c r="F60" s="20" t="s">
        <v>537</v>
      </c>
      <c r="G60" s="20">
        <v>2026</v>
      </c>
      <c r="H60" s="20" t="s">
        <v>123</v>
      </c>
      <c r="I60" s="20" t="s">
        <v>124</v>
      </c>
      <c r="J60" s="20" t="s">
        <v>538</v>
      </c>
      <c r="K60" s="20"/>
      <c r="L60" s="20" t="s">
        <v>4</v>
      </c>
      <c r="M60" s="20" t="s">
        <v>138</v>
      </c>
      <c r="N60" s="22"/>
      <c r="O60" s="19" t="s">
        <v>506</v>
      </c>
      <c r="P60" s="17" t="s">
        <v>539</v>
      </c>
      <c r="Q60" s="14" t="s">
        <v>155</v>
      </c>
      <c r="R60" s="14" t="s">
        <v>181</v>
      </c>
      <c r="S60" s="14">
        <v>3175022222</v>
      </c>
      <c r="T60" s="18">
        <v>3153522582</v>
      </c>
      <c r="U60" s="37" t="s">
        <v>540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133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customHeight="1">
      <c r="A61" s="20">
        <v>3683610</v>
      </c>
      <c r="B61" s="20" t="s">
        <v>70</v>
      </c>
      <c r="C61" s="20" t="s">
        <v>541</v>
      </c>
      <c r="D61" s="20" t="s">
        <v>517</v>
      </c>
      <c r="E61" s="20" t="s">
        <v>517</v>
      </c>
      <c r="F61" s="20" t="s">
        <v>542</v>
      </c>
      <c r="G61" s="20">
        <v>2026</v>
      </c>
      <c r="H61" s="20" t="s">
        <v>123</v>
      </c>
      <c r="I61" s="20" t="s">
        <v>124</v>
      </c>
      <c r="J61" s="20" t="s">
        <v>543</v>
      </c>
      <c r="K61" s="20" t="s">
        <v>544</v>
      </c>
      <c r="L61" s="20" t="s">
        <v>4</v>
      </c>
      <c r="M61" s="20" t="s">
        <v>138</v>
      </c>
      <c r="N61" s="22" t="s">
        <v>545</v>
      </c>
      <c r="O61" s="19" t="s">
        <v>506</v>
      </c>
      <c r="P61" s="17" t="s">
        <v>546</v>
      </c>
      <c r="Q61" s="14" t="s">
        <v>129</v>
      </c>
      <c r="R61" s="14" t="s">
        <v>130</v>
      </c>
      <c r="S61" s="14">
        <v>3186280302</v>
      </c>
      <c r="T61" s="18" t="s">
        <v>547</v>
      </c>
      <c r="U61" s="37" t="s">
        <v>548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133</v>
      </c>
      <c r="AA61" t="s">
        <v>549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customHeight="1">
      <c r="A62" s="20">
        <v>3683591</v>
      </c>
      <c r="B62" s="20" t="s">
        <v>13</v>
      </c>
      <c r="C62" s="20" t="s">
        <v>120</v>
      </c>
      <c r="D62" s="20" t="s">
        <v>517</v>
      </c>
      <c r="E62" s="20" t="s">
        <v>517</v>
      </c>
      <c r="F62" s="20" t="s">
        <v>550</v>
      </c>
      <c r="G62" s="20">
        <v>2026</v>
      </c>
      <c r="H62" s="20" t="s">
        <v>123</v>
      </c>
      <c r="I62" s="20" t="s">
        <v>124</v>
      </c>
      <c r="J62" s="20" t="s">
        <v>125</v>
      </c>
      <c r="K62" s="20" t="s">
        <v>551</v>
      </c>
      <c r="L62" s="20" t="s">
        <v>5</v>
      </c>
      <c r="M62" s="20" t="s">
        <v>126</v>
      </c>
      <c r="N62" s="22" t="s">
        <v>552</v>
      </c>
      <c r="O62" s="19" t="s">
        <v>553</v>
      </c>
      <c r="P62" s="17" t="s">
        <v>554</v>
      </c>
      <c r="Q62" s="14" t="s">
        <v>129</v>
      </c>
      <c r="R62" s="14" t="s">
        <v>130</v>
      </c>
      <c r="S62" s="14">
        <v>3202129355</v>
      </c>
      <c r="T62" s="18">
        <v>3202129355</v>
      </c>
      <c r="U62" s="37" t="s">
        <v>555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133</v>
      </c>
      <c r="AA62" t="s">
        <v>556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557</v>
      </c>
    </row>
    <row r="63" spans="1:40" ht="18.95" customHeight="1">
      <c r="A63" s="20">
        <v>3683612</v>
      </c>
      <c r="B63" s="14" t="s">
        <v>8</v>
      </c>
      <c r="C63" s="20" t="s">
        <v>81</v>
      </c>
      <c r="D63" s="20" t="s">
        <v>517</v>
      </c>
      <c r="E63" s="20" t="s">
        <v>517</v>
      </c>
      <c r="F63" s="20" t="s">
        <v>558</v>
      </c>
      <c r="G63" s="20">
        <v>2026</v>
      </c>
      <c r="H63" s="20" t="s">
        <v>123</v>
      </c>
      <c r="I63" s="20" t="s">
        <v>124</v>
      </c>
      <c r="J63" s="20" t="s">
        <v>559</v>
      </c>
      <c r="K63" s="20"/>
      <c r="L63" s="20" t="s">
        <v>4</v>
      </c>
      <c r="M63" s="20" t="s">
        <v>138</v>
      </c>
      <c r="N63" s="22"/>
      <c r="O63" s="19" t="s">
        <v>506</v>
      </c>
      <c r="P63" s="17" t="s">
        <v>560</v>
      </c>
      <c r="Q63" s="14" t="s">
        <v>212</v>
      </c>
      <c r="R63" s="14" t="s">
        <v>213</v>
      </c>
      <c r="S63" s="14">
        <v>3503394887</v>
      </c>
      <c r="T63" s="18">
        <v>3503394887</v>
      </c>
      <c r="U63" s="37" t="s">
        <v>561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133</v>
      </c>
      <c r="AD63" t="s">
        <v>57</v>
      </c>
      <c r="AE63">
        <v>2</v>
      </c>
      <c r="AG63" t="s">
        <v>34</v>
      </c>
      <c r="AM63"/>
      <c r="AN63" s="29"/>
    </row>
    <row r="64" spans="1:40" ht="18.95" customHeight="1">
      <c r="A64" s="20">
        <v>3686736</v>
      </c>
      <c r="B64" s="20" t="s">
        <v>67</v>
      </c>
      <c r="C64" s="20" t="s">
        <v>420</v>
      </c>
      <c r="D64" s="20" t="s">
        <v>562</v>
      </c>
      <c r="E64" s="20" t="s">
        <v>562</v>
      </c>
      <c r="F64" s="20" t="s">
        <v>563</v>
      </c>
      <c r="G64" s="20">
        <v>2026</v>
      </c>
      <c r="H64" s="20" t="s">
        <v>123</v>
      </c>
      <c r="I64" s="20" t="s">
        <v>124</v>
      </c>
      <c r="J64" s="20" t="s">
        <v>564</v>
      </c>
      <c r="K64" s="20"/>
      <c r="L64" s="20" t="s">
        <v>4</v>
      </c>
      <c r="M64" s="20" t="s">
        <v>138</v>
      </c>
      <c r="N64" s="22" t="s">
        <v>565</v>
      </c>
      <c r="O64" s="19" t="s">
        <v>506</v>
      </c>
      <c r="P64" s="17" t="s">
        <v>566</v>
      </c>
      <c r="Q64" s="14" t="s">
        <v>129</v>
      </c>
      <c r="R64" s="14" t="s">
        <v>130</v>
      </c>
      <c r="S64" s="14" t="s">
        <v>567</v>
      </c>
      <c r="T64" s="18" t="s">
        <v>351</v>
      </c>
      <c r="U64" s="37" t="s">
        <v>568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133</v>
      </c>
      <c r="AA64" t="s">
        <v>569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customHeight="1">
      <c r="A65" s="20">
        <v>3687074</v>
      </c>
      <c r="B65" s="20" t="s">
        <v>73</v>
      </c>
      <c r="C65" s="20" t="s">
        <v>570</v>
      </c>
      <c r="D65" s="20" t="s">
        <v>562</v>
      </c>
      <c r="E65" s="20" t="s">
        <v>562</v>
      </c>
      <c r="F65" s="20" t="s">
        <v>571</v>
      </c>
      <c r="G65" s="20">
        <v>2026</v>
      </c>
      <c r="H65" s="20" t="s">
        <v>123</v>
      </c>
      <c r="I65" s="20" t="s">
        <v>124</v>
      </c>
      <c r="J65" s="20" t="s">
        <v>572</v>
      </c>
      <c r="K65" s="20" t="s">
        <v>573</v>
      </c>
      <c r="L65" s="20" t="s">
        <v>6</v>
      </c>
      <c r="M65" s="20" t="s">
        <v>574</v>
      </c>
      <c r="N65" s="22"/>
      <c r="O65" s="19" t="s">
        <v>486</v>
      </c>
      <c r="P65" s="17" t="s">
        <v>575</v>
      </c>
      <c r="Q65" s="14" t="s">
        <v>129</v>
      </c>
      <c r="R65" s="14" t="s">
        <v>130</v>
      </c>
      <c r="S65" s="14">
        <v>3133263867</v>
      </c>
      <c r="T65" s="18" t="s">
        <v>447</v>
      </c>
      <c r="U65" s="37" t="s">
        <v>576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133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customHeight="1">
      <c r="A66" s="20">
        <v>3687128</v>
      </c>
      <c r="B66" s="20" t="s">
        <v>68</v>
      </c>
      <c r="C66" s="20" t="s">
        <v>528</v>
      </c>
      <c r="D66" s="20" t="s">
        <v>562</v>
      </c>
      <c r="E66" s="20" t="s">
        <v>562</v>
      </c>
      <c r="F66" s="20" t="s">
        <v>577</v>
      </c>
      <c r="G66" s="20">
        <v>2026</v>
      </c>
      <c r="H66" s="20" t="s">
        <v>123</v>
      </c>
      <c r="I66" s="20" t="s">
        <v>124</v>
      </c>
      <c r="J66" s="20" t="s">
        <v>578</v>
      </c>
      <c r="K66" s="20"/>
      <c r="L66" s="20" t="s">
        <v>4</v>
      </c>
      <c r="M66" s="20" t="s">
        <v>138</v>
      </c>
      <c r="N66" s="22" t="s">
        <v>579</v>
      </c>
      <c r="O66" s="19" t="s">
        <v>460</v>
      </c>
      <c r="P66" s="17" t="s">
        <v>580</v>
      </c>
      <c r="Q66" s="14" t="s">
        <v>212</v>
      </c>
      <c r="R66" s="14" t="s">
        <v>213</v>
      </c>
      <c r="S66" s="14" t="s">
        <v>581</v>
      </c>
      <c r="T66" s="18" t="s">
        <v>582</v>
      </c>
      <c r="U66" s="37" t="s">
        <v>583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133</v>
      </c>
      <c r="AA66" t="s">
        <v>584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>
      <c r="A67" s="14">
        <v>3687196</v>
      </c>
      <c r="B67" s="14" t="s">
        <v>76</v>
      </c>
      <c r="C67" s="14" t="s">
        <v>585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123</v>
      </c>
      <c r="I67" s="18" t="s">
        <v>124</v>
      </c>
      <c r="J67" s="21" t="s">
        <v>586</v>
      </c>
      <c r="K67" s="22"/>
      <c r="L67" s="19" t="s">
        <v>6</v>
      </c>
      <c r="M67" s="18" t="s">
        <v>152</v>
      </c>
      <c r="N67" s="22" t="s">
        <v>587</v>
      </c>
      <c r="O67" s="22" t="s">
        <v>486</v>
      </c>
      <c r="P67" s="17" t="s">
        <v>588</v>
      </c>
      <c r="Q67" s="22" t="s">
        <v>129</v>
      </c>
      <c r="R67" s="14" t="s">
        <v>130</v>
      </c>
      <c r="S67" s="26">
        <v>3024234177</v>
      </c>
      <c r="T67" s="34">
        <v>3024234177</v>
      </c>
      <c r="U67" s="37" t="s">
        <v>589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133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>
      <c r="A68" s="14">
        <v>3687205</v>
      </c>
      <c r="B68" s="14" t="s">
        <v>72</v>
      </c>
      <c r="C68" s="14" t="s">
        <v>590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123</v>
      </c>
      <c r="I68" s="18" t="s">
        <v>124</v>
      </c>
      <c r="J68" s="21" t="s">
        <v>591</v>
      </c>
      <c r="K68" s="22"/>
      <c r="L68" s="19" t="s">
        <v>6</v>
      </c>
      <c r="M68" s="18" t="s">
        <v>152</v>
      </c>
      <c r="N68" s="22"/>
      <c r="O68" s="22" t="s">
        <v>486</v>
      </c>
      <c r="P68" s="17" t="s">
        <v>592</v>
      </c>
      <c r="Q68" s="22" t="s">
        <v>593</v>
      </c>
      <c r="R68" s="14" t="s">
        <v>467</v>
      </c>
      <c r="S68" s="26" t="s">
        <v>594</v>
      </c>
      <c r="T68" s="34" t="s">
        <v>595</v>
      </c>
      <c r="U68" s="37" t="s">
        <v>596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133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>
      <c r="A69" s="14">
        <v>3687227</v>
      </c>
      <c r="B69" s="14" t="s">
        <v>67</v>
      </c>
      <c r="C69" s="14" t="s">
        <v>420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123</v>
      </c>
      <c r="I69" s="18" t="s">
        <v>124</v>
      </c>
      <c r="J69" s="21" t="s">
        <v>597</v>
      </c>
      <c r="K69" s="22"/>
      <c r="L69" s="19" t="s">
        <v>4</v>
      </c>
      <c r="M69" s="18" t="s">
        <v>138</v>
      </c>
      <c r="N69" s="22"/>
      <c r="O69" s="22" t="s">
        <v>506</v>
      </c>
      <c r="P69" s="17" t="s">
        <v>598</v>
      </c>
      <c r="Q69" s="22" t="s">
        <v>212</v>
      </c>
      <c r="R69" s="14" t="s">
        <v>213</v>
      </c>
      <c r="S69" s="26">
        <v>3024817872</v>
      </c>
      <c r="T69" s="34" t="s">
        <v>474</v>
      </c>
      <c r="U69" s="37" t="s">
        <v>599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133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>
      <c r="A70" s="14">
        <v>3687230</v>
      </c>
      <c r="B70" s="14" t="s">
        <v>78</v>
      </c>
      <c r="C70" s="14" t="s">
        <v>600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123</v>
      </c>
      <c r="I70" s="18" t="s">
        <v>124</v>
      </c>
      <c r="J70" s="21" t="s">
        <v>601</v>
      </c>
      <c r="K70" s="22"/>
      <c r="L70" s="19" t="s">
        <v>4</v>
      </c>
      <c r="M70" s="18" t="s">
        <v>138</v>
      </c>
      <c r="N70" s="22"/>
      <c r="O70" s="22" t="s">
        <v>460</v>
      </c>
      <c r="P70" s="17" t="s">
        <v>602</v>
      </c>
      <c r="Q70" s="22" t="s">
        <v>129</v>
      </c>
      <c r="R70" s="14" t="s">
        <v>130</v>
      </c>
      <c r="S70" s="26">
        <v>3114910947</v>
      </c>
      <c r="T70" s="34" t="s">
        <v>440</v>
      </c>
      <c r="U70" s="37" t="s">
        <v>603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243</v>
      </c>
      <c r="AC70" t="s">
        <v>604</v>
      </c>
      <c r="AD70" t="s">
        <v>58</v>
      </c>
      <c r="AE70">
        <v>2</v>
      </c>
      <c r="AF70" t="s">
        <v>50</v>
      </c>
      <c r="AM70"/>
      <c r="AN70" s="29"/>
    </row>
    <row r="71" spans="1:40" ht="22.5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123</v>
      </c>
      <c r="I71" s="18" t="s">
        <v>124</v>
      </c>
      <c r="J71" s="21" t="s">
        <v>605</v>
      </c>
      <c r="K71" s="22"/>
      <c r="L71" s="19" t="s">
        <v>4</v>
      </c>
      <c r="M71" s="18" t="s">
        <v>138</v>
      </c>
      <c r="N71" s="22" t="s">
        <v>606</v>
      </c>
      <c r="O71" s="22" t="s">
        <v>460</v>
      </c>
      <c r="P71" s="17" t="s">
        <v>607</v>
      </c>
      <c r="Q71" s="22" t="s">
        <v>212</v>
      </c>
      <c r="R71" s="14" t="s">
        <v>130</v>
      </c>
      <c r="S71" s="26">
        <v>3142715094</v>
      </c>
      <c r="T71" s="34" t="s">
        <v>440</v>
      </c>
      <c r="U71" s="37" t="s">
        <v>608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133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>
      <c r="A72" s="14">
        <v>3687233</v>
      </c>
      <c r="B72" s="14" t="s">
        <v>78</v>
      </c>
      <c r="C72" s="14" t="s">
        <v>600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123</v>
      </c>
      <c r="I72" s="18" t="s">
        <v>124</v>
      </c>
      <c r="J72" s="21" t="s">
        <v>609</v>
      </c>
      <c r="K72" s="22"/>
      <c r="L72" s="19" t="s">
        <v>4</v>
      </c>
      <c r="M72" s="18" t="s">
        <v>138</v>
      </c>
      <c r="N72" s="22"/>
      <c r="O72" s="22" t="s">
        <v>460</v>
      </c>
      <c r="P72" s="17" t="s">
        <v>610</v>
      </c>
      <c r="Q72" s="22" t="s">
        <v>129</v>
      </c>
      <c r="R72" s="14" t="s">
        <v>130</v>
      </c>
      <c r="S72" s="26" t="s">
        <v>611</v>
      </c>
      <c r="T72" s="34" t="s">
        <v>440</v>
      </c>
      <c r="U72" s="37" t="s">
        <v>612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133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123</v>
      </c>
      <c r="I73" s="18" t="s">
        <v>124</v>
      </c>
      <c r="J73" s="21" t="s">
        <v>613</v>
      </c>
      <c r="K73" s="22"/>
      <c r="L73" s="19" t="s">
        <v>4</v>
      </c>
      <c r="M73" s="18" t="s">
        <v>138</v>
      </c>
      <c r="N73" s="22"/>
      <c r="O73" s="22" t="s">
        <v>460</v>
      </c>
      <c r="P73" s="17" t="s">
        <v>614</v>
      </c>
      <c r="Q73" s="22" t="s">
        <v>212</v>
      </c>
      <c r="R73" s="14" t="s">
        <v>213</v>
      </c>
      <c r="S73" s="26" t="s">
        <v>615</v>
      </c>
      <c r="T73" s="34" t="s">
        <v>616</v>
      </c>
      <c r="U73" s="37" t="s">
        <v>617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133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>
      <c r="A74" s="14">
        <v>3687240</v>
      </c>
      <c r="B74" s="14" t="s">
        <v>79</v>
      </c>
      <c r="C74" s="14" t="s">
        <v>618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123</v>
      </c>
      <c r="I74" s="18" t="s">
        <v>124</v>
      </c>
      <c r="J74" s="21" t="s">
        <v>619</v>
      </c>
      <c r="K74" s="22"/>
      <c r="L74" s="19" t="s">
        <v>4</v>
      </c>
      <c r="M74" s="18" t="s">
        <v>138</v>
      </c>
      <c r="N74" s="22"/>
      <c r="O74" s="22" t="s">
        <v>506</v>
      </c>
      <c r="P74" s="17" t="s">
        <v>620</v>
      </c>
      <c r="Q74" s="22" t="s">
        <v>212</v>
      </c>
      <c r="R74" s="14" t="s">
        <v>181</v>
      </c>
      <c r="S74" s="26" t="s">
        <v>621</v>
      </c>
      <c r="T74" s="34" t="s">
        <v>622</v>
      </c>
      <c r="U74" s="37" t="s">
        <v>623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133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>
      <c r="A75" s="14">
        <v>3687244</v>
      </c>
      <c r="B75" s="14" t="s">
        <v>78</v>
      </c>
      <c r="C75" s="14" t="s">
        <v>600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123</v>
      </c>
      <c r="I75" s="18" t="s">
        <v>124</v>
      </c>
      <c r="J75" s="21" t="s">
        <v>624</v>
      </c>
      <c r="K75" s="22"/>
      <c r="L75" s="19" t="s">
        <v>4</v>
      </c>
      <c r="M75" s="18" t="s">
        <v>138</v>
      </c>
      <c r="N75" s="22"/>
      <c r="O75" s="22" t="s">
        <v>460</v>
      </c>
      <c r="P75" s="17" t="s">
        <v>625</v>
      </c>
      <c r="Q75" s="22" t="s">
        <v>129</v>
      </c>
      <c r="R75" s="14" t="s">
        <v>130</v>
      </c>
      <c r="S75" s="26">
        <v>3105726862</v>
      </c>
      <c r="T75" s="34" t="s">
        <v>440</v>
      </c>
      <c r="U75" s="37" t="s">
        <v>626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133</v>
      </c>
      <c r="AD75" t="s">
        <v>58</v>
      </c>
      <c r="AE75">
        <v>2</v>
      </c>
      <c r="AF75" t="s">
        <v>32</v>
      </c>
      <c r="AM75"/>
      <c r="AN75" s="29"/>
    </row>
    <row r="76" spans="1:40" ht="29.1">
      <c r="A76" s="14">
        <v>3687254</v>
      </c>
      <c r="B76" s="14" t="s">
        <v>67</v>
      </c>
      <c r="C76" s="14" t="s">
        <v>420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123</v>
      </c>
      <c r="I76" s="18" t="s">
        <v>124</v>
      </c>
      <c r="J76" s="21" t="s">
        <v>627</v>
      </c>
      <c r="K76" s="22" t="s">
        <v>628</v>
      </c>
      <c r="L76" s="19" t="s">
        <v>4</v>
      </c>
      <c r="M76" s="18" t="s">
        <v>138</v>
      </c>
      <c r="N76" s="22" t="s">
        <v>629</v>
      </c>
      <c r="O76" s="22" t="s">
        <v>506</v>
      </c>
      <c r="P76" s="17" t="s">
        <v>630</v>
      </c>
      <c r="Q76" s="22" t="s">
        <v>129</v>
      </c>
      <c r="R76" s="14" t="s">
        <v>130</v>
      </c>
      <c r="S76" s="26">
        <v>3154720372</v>
      </c>
      <c r="T76" s="34" t="s">
        <v>631</v>
      </c>
      <c r="U76" s="37" t="s">
        <v>632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133</v>
      </c>
      <c r="AD76" t="s">
        <v>58</v>
      </c>
      <c r="AE76">
        <v>2</v>
      </c>
      <c r="AF76" t="s">
        <v>29</v>
      </c>
      <c r="AM76"/>
      <c r="AN76" s="29"/>
    </row>
    <row r="77" spans="1:40" ht="29.1">
      <c r="A77" s="14">
        <v>3687255</v>
      </c>
      <c r="B77" s="14" t="s">
        <v>67</v>
      </c>
      <c r="C77" s="14" t="s">
        <v>420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123</v>
      </c>
      <c r="I77" s="18" t="s">
        <v>124</v>
      </c>
      <c r="J77" s="21" t="s">
        <v>633</v>
      </c>
      <c r="K77" s="22"/>
      <c r="L77" s="19" t="s">
        <v>4</v>
      </c>
      <c r="M77" s="18" t="s">
        <v>138</v>
      </c>
      <c r="N77" s="22" t="s">
        <v>634</v>
      </c>
      <c r="O77" s="22" t="s">
        <v>506</v>
      </c>
      <c r="P77" s="17" t="s">
        <v>635</v>
      </c>
      <c r="Q77" s="22" t="s">
        <v>212</v>
      </c>
      <c r="R77" s="14" t="s">
        <v>488</v>
      </c>
      <c r="S77" s="26">
        <v>3142935162</v>
      </c>
      <c r="T77" s="34" t="s">
        <v>351</v>
      </c>
      <c r="U77" s="37" t="s">
        <v>636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133</v>
      </c>
      <c r="AD77" t="s">
        <v>58</v>
      </c>
      <c r="AE77">
        <v>2</v>
      </c>
      <c r="AF77" t="s">
        <v>29</v>
      </c>
      <c r="AM77"/>
      <c r="AN77" s="29"/>
    </row>
    <row r="78" spans="1:40" ht="29.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123</v>
      </c>
      <c r="I78" s="18" t="s">
        <v>124</v>
      </c>
      <c r="J78" s="21" t="s">
        <v>637</v>
      </c>
      <c r="K78" s="22"/>
      <c r="L78" s="19" t="s">
        <v>4</v>
      </c>
      <c r="M78" s="18" t="s">
        <v>138</v>
      </c>
      <c r="N78" s="22"/>
      <c r="O78" s="22" t="s">
        <v>506</v>
      </c>
      <c r="P78" s="17" t="s">
        <v>638</v>
      </c>
      <c r="Q78" s="22" t="s">
        <v>212</v>
      </c>
      <c r="R78" s="14" t="s">
        <v>130</v>
      </c>
      <c r="S78" s="26">
        <v>3115734621</v>
      </c>
      <c r="T78" s="34">
        <v>3115734621</v>
      </c>
      <c r="U78" s="37" t="s">
        <v>639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133</v>
      </c>
      <c r="AD78" t="s">
        <v>58</v>
      </c>
      <c r="AE78">
        <v>2</v>
      </c>
      <c r="AF78" t="s">
        <v>29</v>
      </c>
      <c r="AM78"/>
      <c r="AN78" s="29"/>
    </row>
    <row r="79" spans="1:40" ht="29.1">
      <c r="A79" s="14">
        <v>3690383</v>
      </c>
      <c r="B79" s="14" t="s">
        <v>78</v>
      </c>
      <c r="C79" s="14" t="s">
        <v>600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123</v>
      </c>
      <c r="I79" s="18" t="s">
        <v>124</v>
      </c>
      <c r="J79" s="21" t="s">
        <v>640</v>
      </c>
      <c r="K79" s="22"/>
      <c r="L79" s="19" t="s">
        <v>5</v>
      </c>
      <c r="M79" s="18" t="s">
        <v>641</v>
      </c>
      <c r="N79" s="22" t="s">
        <v>642</v>
      </c>
      <c r="O79" s="22" t="s">
        <v>486</v>
      </c>
      <c r="P79" s="17" t="s">
        <v>643</v>
      </c>
      <c r="Q79" s="22" t="s">
        <v>593</v>
      </c>
      <c r="R79" s="14" t="s">
        <v>163</v>
      </c>
      <c r="S79" s="26">
        <v>3184196150</v>
      </c>
      <c r="T79" s="34" t="s">
        <v>440</v>
      </c>
      <c r="U79" s="37" t="s">
        <v>644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133</v>
      </c>
      <c r="AD79" t="s">
        <v>59</v>
      </c>
      <c r="AE79">
        <v>2</v>
      </c>
      <c r="AG79" t="s">
        <v>34</v>
      </c>
      <c r="AM79"/>
      <c r="AN79" s="29"/>
    </row>
    <row r="80" spans="1:40" ht="26.1" customHeight="1">
      <c r="A80" s="14">
        <v>3690504</v>
      </c>
      <c r="B80" s="14" t="s">
        <v>64</v>
      </c>
      <c r="C80" s="14" t="s">
        <v>645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123</v>
      </c>
      <c r="I80" s="18" t="s">
        <v>124</v>
      </c>
      <c r="J80" s="21" t="s">
        <v>646</v>
      </c>
      <c r="K80" s="22" t="s">
        <v>647</v>
      </c>
      <c r="L80" s="19" t="s">
        <v>4</v>
      </c>
      <c r="M80" s="18" t="s">
        <v>138</v>
      </c>
      <c r="N80" s="22" t="s">
        <v>648</v>
      </c>
      <c r="O80" s="22" t="s">
        <v>506</v>
      </c>
      <c r="P80" s="17" t="s">
        <v>649</v>
      </c>
      <c r="Q80" s="22" t="s">
        <v>129</v>
      </c>
      <c r="R80" s="14" t="s">
        <v>130</v>
      </c>
      <c r="S80" s="26">
        <v>3142980570</v>
      </c>
      <c r="T80" s="34" t="s">
        <v>440</v>
      </c>
      <c r="U80" s="37" t="s">
        <v>650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133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>
      <c r="A81" s="14">
        <v>3690509</v>
      </c>
      <c r="B81" s="14" t="s">
        <v>69</v>
      </c>
      <c r="C81" s="14" t="s">
        <v>651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123</v>
      </c>
      <c r="I81" s="18" t="s">
        <v>124</v>
      </c>
      <c r="J81" s="21" t="s">
        <v>652</v>
      </c>
      <c r="K81" s="22"/>
      <c r="L81" s="19" t="s">
        <v>6</v>
      </c>
      <c r="M81" s="18" t="s">
        <v>641</v>
      </c>
      <c r="N81" s="22" t="s">
        <v>653</v>
      </c>
      <c r="O81" s="22" t="s">
        <v>486</v>
      </c>
      <c r="P81" s="17" t="s">
        <v>654</v>
      </c>
      <c r="Q81" s="22" t="s">
        <v>129</v>
      </c>
      <c r="R81" s="14" t="s">
        <v>213</v>
      </c>
      <c r="S81" s="26">
        <v>3214953993</v>
      </c>
      <c r="T81" s="34"/>
      <c r="U81" s="37" t="s">
        <v>655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133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>
      <c r="A82" s="14">
        <v>3690581</v>
      </c>
      <c r="B82" s="14" t="s">
        <v>67</v>
      </c>
      <c r="C82" s="14" t="s">
        <v>420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123</v>
      </c>
      <c r="I82" s="18" t="s">
        <v>124</v>
      </c>
      <c r="J82" s="21" t="s">
        <v>656</v>
      </c>
      <c r="K82" s="22"/>
      <c r="L82" s="19" t="s">
        <v>4</v>
      </c>
      <c r="M82" s="18" t="s">
        <v>138</v>
      </c>
      <c r="N82" s="22" t="s">
        <v>657</v>
      </c>
      <c r="O82" s="22" t="s">
        <v>506</v>
      </c>
      <c r="P82" s="17" t="s">
        <v>658</v>
      </c>
      <c r="Q82" s="22" t="s">
        <v>593</v>
      </c>
      <c r="R82" s="14" t="s">
        <v>467</v>
      </c>
      <c r="S82" s="26">
        <v>3176427845</v>
      </c>
      <c r="T82" s="34" t="s">
        <v>474</v>
      </c>
      <c r="U82" s="37" t="s">
        <v>659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133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660</v>
      </c>
    </row>
    <row r="83" spans="1:40" ht="29.1">
      <c r="A83" s="14">
        <v>3690583</v>
      </c>
      <c r="B83" s="14" t="s">
        <v>67</v>
      </c>
      <c r="C83" s="14" t="s">
        <v>420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123</v>
      </c>
      <c r="I83" s="18" t="s">
        <v>124</v>
      </c>
      <c r="J83" s="21" t="s">
        <v>661</v>
      </c>
      <c r="K83" s="22"/>
      <c r="L83" s="19" t="s">
        <v>4</v>
      </c>
      <c r="M83" s="18" t="s">
        <v>138</v>
      </c>
      <c r="N83" s="22" t="s">
        <v>662</v>
      </c>
      <c r="O83" s="22" t="s">
        <v>506</v>
      </c>
      <c r="P83" s="17" t="s">
        <v>663</v>
      </c>
      <c r="Q83" s="22" t="s">
        <v>129</v>
      </c>
      <c r="R83" s="14" t="s">
        <v>130</v>
      </c>
      <c r="S83" s="26">
        <v>3125357136</v>
      </c>
      <c r="T83" s="34" t="s">
        <v>474</v>
      </c>
      <c r="U83" s="37" t="s">
        <v>664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133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>
      <c r="A84" s="14">
        <v>3690591</v>
      </c>
      <c r="B84" s="14" t="s">
        <v>67</v>
      </c>
      <c r="C84" s="14" t="s">
        <v>420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123</v>
      </c>
      <c r="I84" s="18" t="s">
        <v>124</v>
      </c>
      <c r="J84" s="21" t="s">
        <v>665</v>
      </c>
      <c r="K84" s="22"/>
      <c r="L84" s="19" t="s">
        <v>4</v>
      </c>
      <c r="M84" s="18" t="s">
        <v>138</v>
      </c>
      <c r="N84" s="22" t="s">
        <v>666</v>
      </c>
      <c r="O84" s="22" t="s">
        <v>506</v>
      </c>
      <c r="P84" s="17" t="s">
        <v>667</v>
      </c>
      <c r="Q84" s="22" t="s">
        <v>212</v>
      </c>
      <c r="R84" s="14" t="s">
        <v>213</v>
      </c>
      <c r="S84" s="26">
        <v>3118918691</v>
      </c>
      <c r="T84" s="34" t="s">
        <v>474</v>
      </c>
      <c r="U84" s="37" t="s">
        <v>668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133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>
      <c r="A85" s="14">
        <v>3690617</v>
      </c>
      <c r="B85" s="14" t="s">
        <v>65</v>
      </c>
      <c r="C85" s="14" t="s">
        <v>412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123</v>
      </c>
      <c r="I85" s="18" t="s">
        <v>124</v>
      </c>
      <c r="J85" s="21" t="s">
        <v>669</v>
      </c>
      <c r="K85" s="22"/>
      <c r="L85" s="19" t="s">
        <v>6</v>
      </c>
      <c r="M85" s="18" t="s">
        <v>641</v>
      </c>
      <c r="N85" s="22" t="s">
        <v>670</v>
      </c>
      <c r="O85" s="22" t="s">
        <v>486</v>
      </c>
      <c r="P85" s="17" t="s">
        <v>671</v>
      </c>
      <c r="Q85" s="22" t="s">
        <v>129</v>
      </c>
      <c r="R85" s="14" t="s">
        <v>130</v>
      </c>
      <c r="S85" s="26">
        <v>3178928902</v>
      </c>
      <c r="T85" s="34" t="s">
        <v>672</v>
      </c>
      <c r="U85" s="37" t="s">
        <v>673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133</v>
      </c>
      <c r="AD85" t="s">
        <v>59</v>
      </c>
      <c r="AE85">
        <v>2</v>
      </c>
      <c r="AG85" t="s">
        <v>31</v>
      </c>
      <c r="AM85"/>
      <c r="AN85" s="29"/>
    </row>
    <row r="86" spans="1:40" ht="29.1">
      <c r="A86" s="14">
        <v>3690627</v>
      </c>
      <c r="B86" s="14" t="s">
        <v>65</v>
      </c>
      <c r="C86" s="14" t="s">
        <v>412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123</v>
      </c>
      <c r="I86" s="18" t="s">
        <v>124</v>
      </c>
      <c r="J86" s="21" t="s">
        <v>674</v>
      </c>
      <c r="K86" s="22"/>
      <c r="L86" s="19" t="s">
        <v>6</v>
      </c>
      <c r="M86" s="18" t="s">
        <v>641</v>
      </c>
      <c r="N86" s="22" t="s">
        <v>675</v>
      </c>
      <c r="O86" s="22" t="s">
        <v>486</v>
      </c>
      <c r="P86" s="17" t="s">
        <v>676</v>
      </c>
      <c r="Q86" s="22" t="s">
        <v>212</v>
      </c>
      <c r="R86" s="14" t="s">
        <v>213</v>
      </c>
      <c r="S86" s="26" t="s">
        <v>677</v>
      </c>
      <c r="T86" s="34" t="s">
        <v>678</v>
      </c>
      <c r="U86" s="37" t="s">
        <v>679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133</v>
      </c>
      <c r="AD86" t="s">
        <v>59</v>
      </c>
      <c r="AE86">
        <v>2</v>
      </c>
      <c r="AG86" t="s">
        <v>28</v>
      </c>
      <c r="AM86"/>
      <c r="AN86" s="29"/>
    </row>
    <row r="87" spans="1:40" ht="29.1">
      <c r="A87" s="14">
        <v>3690630</v>
      </c>
      <c r="B87" s="14" t="s">
        <v>65</v>
      </c>
      <c r="C87" s="14" t="s">
        <v>412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123</v>
      </c>
      <c r="I87" s="18" t="s">
        <v>124</v>
      </c>
      <c r="J87" s="21" t="s">
        <v>680</v>
      </c>
      <c r="K87" s="22"/>
      <c r="L87" s="19" t="s">
        <v>6</v>
      </c>
      <c r="M87" s="18" t="s">
        <v>641</v>
      </c>
      <c r="N87" s="22" t="s">
        <v>681</v>
      </c>
      <c r="O87" s="22" t="s">
        <v>486</v>
      </c>
      <c r="P87" s="17" t="s">
        <v>682</v>
      </c>
      <c r="Q87" s="22" t="s">
        <v>212</v>
      </c>
      <c r="R87" s="14" t="s">
        <v>213</v>
      </c>
      <c r="S87" s="26" t="s">
        <v>683</v>
      </c>
      <c r="T87" s="34" t="s">
        <v>474</v>
      </c>
      <c r="U87" s="37" t="s">
        <v>684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133</v>
      </c>
      <c r="AD87" t="s">
        <v>59</v>
      </c>
      <c r="AE87">
        <v>2</v>
      </c>
      <c r="AG87" t="s">
        <v>28</v>
      </c>
      <c r="AM87"/>
      <c r="AN87" s="29"/>
    </row>
    <row r="88" spans="1:40" ht="29.1">
      <c r="A88" s="14">
        <v>3690631</v>
      </c>
      <c r="B88" s="14" t="s">
        <v>65</v>
      </c>
      <c r="C88" s="14" t="s">
        <v>412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123</v>
      </c>
      <c r="I88" s="18" t="s">
        <v>124</v>
      </c>
      <c r="J88" s="21" t="s">
        <v>685</v>
      </c>
      <c r="K88" s="22"/>
      <c r="L88" s="19" t="s">
        <v>6</v>
      </c>
      <c r="M88" s="18" t="s">
        <v>152</v>
      </c>
      <c r="N88" s="22" t="s">
        <v>686</v>
      </c>
      <c r="O88" s="22" t="s">
        <v>486</v>
      </c>
      <c r="P88" s="17" t="s">
        <v>687</v>
      </c>
      <c r="Q88" s="22" t="s">
        <v>129</v>
      </c>
      <c r="R88" s="14" t="s">
        <v>130</v>
      </c>
      <c r="S88" s="26">
        <v>3105050992</v>
      </c>
      <c r="T88" s="34" t="s">
        <v>474</v>
      </c>
      <c r="U88" s="37" t="s">
        <v>688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133</v>
      </c>
      <c r="AD88" t="s">
        <v>59</v>
      </c>
      <c r="AE88">
        <v>2</v>
      </c>
      <c r="AG88" t="s">
        <v>34</v>
      </c>
      <c r="AM88"/>
      <c r="AN88" s="29"/>
    </row>
    <row r="89" spans="1:40" ht="29.1">
      <c r="A89" s="14">
        <v>3693642</v>
      </c>
      <c r="B89" s="14" t="s">
        <v>76</v>
      </c>
      <c r="C89" s="14" t="s">
        <v>585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123</v>
      </c>
      <c r="I89" s="18" t="s">
        <v>124</v>
      </c>
      <c r="J89" s="21" t="s">
        <v>689</v>
      </c>
      <c r="K89" s="22"/>
      <c r="L89" s="19" t="s">
        <v>6</v>
      </c>
      <c r="M89" s="18" t="s">
        <v>152</v>
      </c>
      <c r="N89" s="22" t="s">
        <v>690</v>
      </c>
      <c r="O89" s="22" t="s">
        <v>486</v>
      </c>
      <c r="P89" s="17" t="s">
        <v>691</v>
      </c>
      <c r="Q89" s="22" t="s">
        <v>129</v>
      </c>
      <c r="R89" s="14" t="s">
        <v>130</v>
      </c>
      <c r="S89" s="26">
        <v>3122972656</v>
      </c>
      <c r="T89" s="34">
        <v>3122972656</v>
      </c>
      <c r="U89" s="37" t="s">
        <v>692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133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customHeight="1">
      <c r="A90" s="14">
        <v>3696824</v>
      </c>
      <c r="B90" s="14" t="s">
        <v>17</v>
      </c>
      <c r="C90" s="14" t="s">
        <v>278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123</v>
      </c>
      <c r="I90" s="18" t="s">
        <v>124</v>
      </c>
      <c r="J90" s="21" t="s">
        <v>693</v>
      </c>
      <c r="K90" s="22"/>
      <c r="L90" s="19" t="s">
        <v>4</v>
      </c>
      <c r="M90" s="18" t="s">
        <v>138</v>
      </c>
      <c r="N90" s="22" t="s">
        <v>694</v>
      </c>
      <c r="O90" s="22" t="s">
        <v>460</v>
      </c>
      <c r="P90" s="17" t="s">
        <v>695</v>
      </c>
      <c r="Q90" s="22" t="s">
        <v>593</v>
      </c>
      <c r="R90" s="14" t="s">
        <v>130</v>
      </c>
      <c r="S90" s="26" t="s">
        <v>696</v>
      </c>
      <c r="T90" s="34" t="s">
        <v>283</v>
      </c>
      <c r="U90" s="37" t="s">
        <v>697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133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>
      <c r="A91" s="14">
        <v>3696844</v>
      </c>
      <c r="B91" s="14" t="s">
        <v>17</v>
      </c>
      <c r="C91" s="14" t="s">
        <v>278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123</v>
      </c>
      <c r="I91" s="18" t="s">
        <v>124</v>
      </c>
      <c r="J91" s="21" t="s">
        <v>698</v>
      </c>
      <c r="K91" s="22"/>
      <c r="L91" s="19" t="s">
        <v>4</v>
      </c>
      <c r="M91" s="18" t="s">
        <v>138</v>
      </c>
      <c r="N91" s="22" t="s">
        <v>699</v>
      </c>
      <c r="O91" s="22" t="s">
        <v>460</v>
      </c>
      <c r="P91" s="17" t="s">
        <v>700</v>
      </c>
      <c r="Q91" s="22" t="s">
        <v>593</v>
      </c>
      <c r="R91" s="14" t="s">
        <v>130</v>
      </c>
      <c r="S91" s="26" t="s">
        <v>701</v>
      </c>
      <c r="T91" s="34" t="s">
        <v>283</v>
      </c>
      <c r="U91" s="37" t="s">
        <v>702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133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>
      <c r="A92" s="14">
        <v>3696848</v>
      </c>
      <c r="B92" s="14" t="s">
        <v>17</v>
      </c>
      <c r="C92" s="14" t="s">
        <v>278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123</v>
      </c>
      <c r="I92" s="18" t="s">
        <v>124</v>
      </c>
      <c r="J92" s="21" t="s">
        <v>703</v>
      </c>
      <c r="K92" s="22" t="s">
        <v>704</v>
      </c>
      <c r="L92" s="19" t="s">
        <v>4</v>
      </c>
      <c r="M92" s="18" t="s">
        <v>138</v>
      </c>
      <c r="N92" s="22" t="s">
        <v>705</v>
      </c>
      <c r="O92" s="22" t="s">
        <v>460</v>
      </c>
      <c r="P92" s="17" t="s">
        <v>706</v>
      </c>
      <c r="Q92" s="22" t="s">
        <v>129</v>
      </c>
      <c r="R92" s="14" t="s">
        <v>213</v>
      </c>
      <c r="S92" s="26" t="s">
        <v>707</v>
      </c>
      <c r="T92" s="34" t="s">
        <v>283</v>
      </c>
      <c r="U92" s="37" t="s">
        <v>708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133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>
      <c r="A93" s="14">
        <v>3696850</v>
      </c>
      <c r="B93" s="14" t="s">
        <v>17</v>
      </c>
      <c r="C93" s="14" t="s">
        <v>278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123</v>
      </c>
      <c r="I93" s="18" t="s">
        <v>124</v>
      </c>
      <c r="J93" s="21" t="s">
        <v>709</v>
      </c>
      <c r="K93" s="22"/>
      <c r="L93" s="19" t="s">
        <v>4</v>
      </c>
      <c r="M93" s="18" t="s">
        <v>138</v>
      </c>
      <c r="N93" s="22" t="s">
        <v>710</v>
      </c>
      <c r="O93" s="22" t="s">
        <v>460</v>
      </c>
      <c r="P93" s="17" t="s">
        <v>711</v>
      </c>
      <c r="Q93" s="22" t="s">
        <v>129</v>
      </c>
      <c r="R93" s="14" t="s">
        <v>130</v>
      </c>
      <c r="S93" s="26">
        <v>3105726862</v>
      </c>
      <c r="T93" s="34" t="s">
        <v>283</v>
      </c>
      <c r="U93" s="37" t="s">
        <v>712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243</v>
      </c>
      <c r="AC93" t="s">
        <v>713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123</v>
      </c>
      <c r="I94" s="18" t="s">
        <v>124</v>
      </c>
      <c r="J94" s="21" t="s">
        <v>714</v>
      </c>
      <c r="K94" s="22"/>
      <c r="L94" s="19" t="s">
        <v>4</v>
      </c>
      <c r="M94" s="18" t="s">
        <v>138</v>
      </c>
      <c r="N94" s="22" t="s">
        <v>715</v>
      </c>
      <c r="O94" s="22" t="s">
        <v>460</v>
      </c>
      <c r="P94" s="17" t="s">
        <v>716</v>
      </c>
      <c r="Q94" s="22" t="s">
        <v>129</v>
      </c>
      <c r="R94" s="14" t="s">
        <v>181</v>
      </c>
      <c r="S94" s="26">
        <v>3102275656</v>
      </c>
      <c r="T94" s="34" t="s">
        <v>717</v>
      </c>
      <c r="U94" s="37" t="s">
        <v>718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133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123</v>
      </c>
      <c r="I95" s="18" t="s">
        <v>124</v>
      </c>
      <c r="J95" s="21" t="s">
        <v>719</v>
      </c>
      <c r="K95" s="22"/>
      <c r="L95" s="19" t="s">
        <v>4</v>
      </c>
      <c r="M95" s="18" t="s">
        <v>138</v>
      </c>
      <c r="N95" s="22" t="s">
        <v>720</v>
      </c>
      <c r="O95" s="22" t="s">
        <v>460</v>
      </c>
      <c r="P95" s="17" t="s">
        <v>721</v>
      </c>
      <c r="Q95" s="22" t="s">
        <v>129</v>
      </c>
      <c r="R95" s="14" t="s">
        <v>130</v>
      </c>
      <c r="S95" s="26">
        <v>3330334242</v>
      </c>
      <c r="T95" s="34" t="s">
        <v>717</v>
      </c>
      <c r="U95" s="37" t="s">
        <v>722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133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123</v>
      </c>
      <c r="I96" s="18" t="s">
        <v>124</v>
      </c>
      <c r="J96" s="21" t="s">
        <v>723</v>
      </c>
      <c r="K96" s="22"/>
      <c r="L96" s="19" t="s">
        <v>4</v>
      </c>
      <c r="M96" s="18" t="s">
        <v>138</v>
      </c>
      <c r="N96" s="22" t="s">
        <v>724</v>
      </c>
      <c r="O96" s="22" t="s">
        <v>460</v>
      </c>
      <c r="P96" s="17" t="s">
        <v>725</v>
      </c>
      <c r="Q96" s="22" t="s">
        <v>593</v>
      </c>
      <c r="R96" s="14" t="s">
        <v>213</v>
      </c>
      <c r="S96" s="26">
        <v>3176606271</v>
      </c>
      <c r="T96" s="34" t="s">
        <v>726</v>
      </c>
      <c r="U96" s="37" t="s">
        <v>727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133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123</v>
      </c>
      <c r="I97" s="18" t="s">
        <v>124</v>
      </c>
      <c r="J97" s="21" t="s">
        <v>728</v>
      </c>
      <c r="K97" s="22"/>
      <c r="L97" s="19" t="s">
        <v>4</v>
      </c>
      <c r="M97" s="18" t="s">
        <v>138</v>
      </c>
      <c r="N97" s="22" t="s">
        <v>729</v>
      </c>
      <c r="O97" s="22" t="s">
        <v>460</v>
      </c>
      <c r="P97" s="17" t="s">
        <v>730</v>
      </c>
      <c r="Q97" s="22" t="s">
        <v>593</v>
      </c>
      <c r="R97" s="14" t="s">
        <v>130</v>
      </c>
      <c r="S97" s="26">
        <v>3125370241</v>
      </c>
      <c r="T97" s="34" t="s">
        <v>726</v>
      </c>
      <c r="U97" s="37" t="s">
        <v>731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133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>
      <c r="A98" s="14">
        <v>3697115</v>
      </c>
      <c r="B98" s="14" t="s">
        <v>77</v>
      </c>
      <c r="C98" s="14" t="s">
        <v>732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123</v>
      </c>
      <c r="I98" s="14" t="s">
        <v>124</v>
      </c>
      <c r="J98" s="14" t="s">
        <v>733</v>
      </c>
      <c r="K98" s="14"/>
      <c r="L98" s="14" t="s">
        <v>4</v>
      </c>
      <c r="M98" s="14" t="s">
        <v>138</v>
      </c>
      <c r="N98" s="14" t="s">
        <v>734</v>
      </c>
      <c r="O98" s="14" t="s">
        <v>506</v>
      </c>
      <c r="P98" s="17" t="s">
        <v>735</v>
      </c>
      <c r="Q98" s="14" t="s">
        <v>593</v>
      </c>
      <c r="R98" s="14" t="s">
        <v>130</v>
      </c>
      <c r="S98" s="28">
        <v>3123972027</v>
      </c>
      <c r="T98" s="18" t="s">
        <v>736</v>
      </c>
      <c r="U98" s="37" t="s">
        <v>737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133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>
      <c r="A99" s="14">
        <v>3696742</v>
      </c>
      <c r="B99" s="14" t="s">
        <v>67</v>
      </c>
      <c r="C99" s="14" t="s">
        <v>420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123</v>
      </c>
      <c r="I99" s="18" t="s">
        <v>124</v>
      </c>
      <c r="J99" s="21" t="s">
        <v>738</v>
      </c>
      <c r="K99" s="22"/>
      <c r="L99" s="19" t="s">
        <v>4</v>
      </c>
      <c r="M99" s="18" t="s">
        <v>138</v>
      </c>
      <c r="N99" s="22" t="s">
        <v>739</v>
      </c>
      <c r="O99" s="22" t="s">
        <v>506</v>
      </c>
      <c r="P99" s="17" t="s">
        <v>740</v>
      </c>
      <c r="Q99" s="22" t="s">
        <v>129</v>
      </c>
      <c r="R99" s="14" t="s">
        <v>130</v>
      </c>
      <c r="S99" s="26" t="s">
        <v>741</v>
      </c>
      <c r="T99" s="34" t="s">
        <v>742</v>
      </c>
      <c r="U99" s="37" t="s">
        <v>743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133</v>
      </c>
      <c r="AA99" t="s">
        <v>744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>
      <c r="A100" s="14">
        <v>3697029</v>
      </c>
      <c r="B100" s="14" t="s">
        <v>21</v>
      </c>
      <c r="C100" s="14" t="s">
        <v>135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123</v>
      </c>
      <c r="I100" s="18" t="s">
        <v>124</v>
      </c>
      <c r="J100" s="21" t="s">
        <v>745</v>
      </c>
      <c r="K100" s="22"/>
      <c r="L100" s="19" t="s">
        <v>4</v>
      </c>
      <c r="M100" s="18" t="s">
        <v>138</v>
      </c>
      <c r="N100" s="22" t="s">
        <v>746</v>
      </c>
      <c r="O100" s="22" t="s">
        <v>460</v>
      </c>
      <c r="P100" s="17" t="s">
        <v>747</v>
      </c>
      <c r="Q100" s="22" t="s">
        <v>129</v>
      </c>
      <c r="R100" s="14" t="s">
        <v>213</v>
      </c>
      <c r="S100" s="26">
        <v>3005546100</v>
      </c>
      <c r="T100" s="34"/>
      <c r="U100" s="37" t="s">
        <v>748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133</v>
      </c>
      <c r="AA100" t="s">
        <v>749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>
      <c r="A101" s="14">
        <v>3697093</v>
      </c>
      <c r="B101" s="14" t="s">
        <v>78</v>
      </c>
      <c r="C101" s="14" t="s">
        <v>600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123</v>
      </c>
      <c r="I101" s="14" t="s">
        <v>124</v>
      </c>
      <c r="J101" s="14" t="s">
        <v>750</v>
      </c>
      <c r="K101" s="14"/>
      <c r="L101" s="14" t="s">
        <v>4</v>
      </c>
      <c r="M101" s="14" t="s">
        <v>138</v>
      </c>
      <c r="N101" s="14" t="s">
        <v>751</v>
      </c>
      <c r="O101" s="14" t="s">
        <v>460</v>
      </c>
      <c r="P101" s="17" t="s">
        <v>752</v>
      </c>
      <c r="Q101" s="14" t="s">
        <v>129</v>
      </c>
      <c r="R101" s="14" t="s">
        <v>488</v>
      </c>
      <c r="S101" s="28">
        <v>3203854343</v>
      </c>
      <c r="T101" s="18" t="s">
        <v>753</v>
      </c>
      <c r="U101" s="37" t="s">
        <v>754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133</v>
      </c>
      <c r="AA101" t="s">
        <v>755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>
      <c r="A102" s="14">
        <v>3702232</v>
      </c>
      <c r="B102" s="14" t="s">
        <v>68</v>
      </c>
      <c r="C102" s="14" t="s">
        <v>528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123</v>
      </c>
      <c r="I102" s="14" t="s">
        <v>124</v>
      </c>
      <c r="J102" s="14" t="s">
        <v>756</v>
      </c>
      <c r="K102" s="14"/>
      <c r="L102" s="14" t="s">
        <v>4</v>
      </c>
      <c r="M102" s="14" t="s">
        <v>138</v>
      </c>
      <c r="N102" s="14" t="s">
        <v>757</v>
      </c>
      <c r="O102" s="14" t="s">
        <v>460</v>
      </c>
      <c r="P102" s="17" t="s">
        <v>758</v>
      </c>
      <c r="Q102" s="14" t="s">
        <v>593</v>
      </c>
      <c r="R102" s="14" t="s">
        <v>213</v>
      </c>
      <c r="S102" s="28">
        <v>3176606271</v>
      </c>
      <c r="T102" s="35" t="s">
        <v>283</v>
      </c>
      <c r="U102" s="37" t="s">
        <v>712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243</v>
      </c>
      <c r="AA102" t="s">
        <v>759</v>
      </c>
      <c r="AC102" t="s">
        <v>760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>
      <c r="A103" s="14">
        <v>3702113</v>
      </c>
      <c r="B103" s="14" t="s">
        <v>10</v>
      </c>
      <c r="C103" s="14" t="s">
        <v>257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123</v>
      </c>
      <c r="I103" s="14" t="s">
        <v>124</v>
      </c>
      <c r="J103" s="14" t="s">
        <v>761</v>
      </c>
      <c r="K103" s="14"/>
      <c r="L103" s="14" t="s">
        <v>4</v>
      </c>
      <c r="M103" s="14" t="s">
        <v>138</v>
      </c>
      <c r="N103" s="14" t="s">
        <v>762</v>
      </c>
      <c r="O103" s="14" t="s">
        <v>506</v>
      </c>
      <c r="P103" s="17" t="s">
        <v>763</v>
      </c>
      <c r="Q103" s="14" t="s">
        <v>129</v>
      </c>
      <c r="R103" s="14" t="s">
        <v>130</v>
      </c>
      <c r="S103" s="28">
        <v>3143327175</v>
      </c>
      <c r="T103" s="35" t="s">
        <v>264</v>
      </c>
      <c r="U103" s="37" t="s">
        <v>764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133</v>
      </c>
      <c r="AA103" t="s">
        <v>765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>
      <c r="A104" s="14">
        <v>3702270</v>
      </c>
      <c r="B104" s="14" t="s">
        <v>68</v>
      </c>
      <c r="C104" s="14" t="s">
        <v>528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123</v>
      </c>
      <c r="I104" s="14" t="s">
        <v>124</v>
      </c>
      <c r="J104" s="14" t="s">
        <v>766</v>
      </c>
      <c r="K104" s="14" t="s">
        <v>767</v>
      </c>
      <c r="L104" s="14" t="s">
        <v>4</v>
      </c>
      <c r="M104" s="14" t="s">
        <v>138</v>
      </c>
      <c r="N104" s="14" t="s">
        <v>768</v>
      </c>
      <c r="O104" s="14" t="s">
        <v>460</v>
      </c>
      <c r="P104" s="17" t="s">
        <v>769</v>
      </c>
      <c r="Q104" s="14" t="s">
        <v>129</v>
      </c>
      <c r="R104" s="14" t="s">
        <v>213</v>
      </c>
      <c r="S104" s="28" t="s">
        <v>770</v>
      </c>
      <c r="T104" s="35" t="s">
        <v>283</v>
      </c>
      <c r="U104" s="37" t="s">
        <v>771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133</v>
      </c>
      <c r="AA104" t="s">
        <v>772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>
      <c r="A105" s="14">
        <v>3702281</v>
      </c>
      <c r="B105" s="14" t="s">
        <v>10</v>
      </c>
      <c r="C105" s="14" t="s">
        <v>257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123</v>
      </c>
      <c r="I105" s="14" t="s">
        <v>124</v>
      </c>
      <c r="J105" s="14" t="s">
        <v>773</v>
      </c>
      <c r="K105" s="14"/>
      <c r="L105" s="14" t="s">
        <v>4</v>
      </c>
      <c r="M105" s="14" t="s">
        <v>138</v>
      </c>
      <c r="N105" s="14" t="s">
        <v>774</v>
      </c>
      <c r="O105" s="14" t="s">
        <v>506</v>
      </c>
      <c r="P105" s="17" t="s">
        <v>775</v>
      </c>
      <c r="Q105" s="14" t="s">
        <v>593</v>
      </c>
      <c r="R105" s="14" t="s">
        <v>130</v>
      </c>
      <c r="S105" s="28">
        <v>3208025550</v>
      </c>
      <c r="T105" s="35" t="s">
        <v>500</v>
      </c>
      <c r="U105" s="37" t="s">
        <v>776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133</v>
      </c>
      <c r="AA105" t="s">
        <v>777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123</v>
      </c>
      <c r="I106" s="14" t="s">
        <v>124</v>
      </c>
      <c r="J106" s="14" t="s">
        <v>778</v>
      </c>
      <c r="K106" s="14"/>
      <c r="L106" s="14" t="s">
        <v>4</v>
      </c>
      <c r="M106" s="14" t="s">
        <v>138</v>
      </c>
      <c r="N106" s="14" t="s">
        <v>779</v>
      </c>
      <c r="O106" s="14" t="s">
        <v>553</v>
      </c>
      <c r="P106" s="17" t="s">
        <v>780</v>
      </c>
      <c r="Q106" s="14" t="s">
        <v>212</v>
      </c>
      <c r="R106" s="14" t="s">
        <v>213</v>
      </c>
      <c r="S106" s="28">
        <v>3144428080</v>
      </c>
      <c r="T106" s="35" t="s">
        <v>500</v>
      </c>
      <c r="U106" s="37" t="s">
        <v>781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133</v>
      </c>
      <c r="AA106" t="s">
        <v>782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customHeight="1">
      <c r="A107" s="14">
        <v>3702424</v>
      </c>
      <c r="B107" s="14" t="s">
        <v>70</v>
      </c>
      <c r="C107" s="14" t="s">
        <v>541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123</v>
      </c>
      <c r="I107" s="14" t="s">
        <v>124</v>
      </c>
      <c r="J107" s="14" t="s">
        <v>783</v>
      </c>
      <c r="K107" s="14"/>
      <c r="L107" s="14" t="s">
        <v>4</v>
      </c>
      <c r="M107" s="14" t="s">
        <v>138</v>
      </c>
      <c r="N107" s="14" t="s">
        <v>784</v>
      </c>
      <c r="O107" s="14" t="s">
        <v>506</v>
      </c>
      <c r="P107" s="17" t="s">
        <v>785</v>
      </c>
      <c r="Q107" s="14" t="s">
        <v>129</v>
      </c>
      <c r="R107" s="14" t="s">
        <v>130</v>
      </c>
      <c r="S107" s="28" t="s">
        <v>786</v>
      </c>
      <c r="T107" s="35" t="s">
        <v>787</v>
      </c>
      <c r="U107" s="37" t="s">
        <v>788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133</v>
      </c>
      <c r="AA107" t="s">
        <v>789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790</v>
      </c>
      <c r="AN107" s="29" t="s">
        <v>791</v>
      </c>
    </row>
    <row r="108" spans="1:40" ht="30" customHeight="1">
      <c r="A108" s="14">
        <v>3702441</v>
      </c>
      <c r="B108" s="14" t="s">
        <v>70</v>
      </c>
      <c r="C108" s="14" t="s">
        <v>541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123</v>
      </c>
      <c r="I108" s="14" t="s">
        <v>124</v>
      </c>
      <c r="J108" s="14" t="s">
        <v>792</v>
      </c>
      <c r="K108" s="14" t="s">
        <v>793</v>
      </c>
      <c r="L108" s="14" t="s">
        <v>4</v>
      </c>
      <c r="M108" s="14" t="s">
        <v>138</v>
      </c>
      <c r="N108" s="14" t="s">
        <v>794</v>
      </c>
      <c r="O108" s="14" t="s">
        <v>506</v>
      </c>
      <c r="P108" s="17" t="s">
        <v>795</v>
      </c>
      <c r="Q108" s="14" t="s">
        <v>593</v>
      </c>
      <c r="R108" s="14" t="s">
        <v>213</v>
      </c>
      <c r="S108" s="28" t="s">
        <v>786</v>
      </c>
      <c r="T108" s="35" t="s">
        <v>796</v>
      </c>
      <c r="U108" s="37" t="s">
        <v>797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133</v>
      </c>
      <c r="AA108" t="s">
        <v>798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799</v>
      </c>
    </row>
    <row r="109" spans="1:40" ht="23.45" customHeight="1">
      <c r="A109" s="14">
        <v>3702467</v>
      </c>
      <c r="B109" s="14" t="s">
        <v>62</v>
      </c>
      <c r="C109" s="14" t="s">
        <v>175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123</v>
      </c>
      <c r="I109" s="14" t="s">
        <v>124</v>
      </c>
      <c r="J109" s="14" t="s">
        <v>800</v>
      </c>
      <c r="K109" s="14"/>
      <c r="L109" s="14" t="s">
        <v>4</v>
      </c>
      <c r="M109" s="14" t="s">
        <v>138</v>
      </c>
      <c r="N109" s="14" t="s">
        <v>801</v>
      </c>
      <c r="O109" s="14" t="s">
        <v>553</v>
      </c>
      <c r="P109" s="17" t="s">
        <v>802</v>
      </c>
      <c r="Q109" s="14" t="s">
        <v>593</v>
      </c>
      <c r="R109" s="14" t="s">
        <v>130</v>
      </c>
      <c r="S109" s="28">
        <v>3208999393</v>
      </c>
      <c r="T109" s="35">
        <v>3208999393</v>
      </c>
      <c r="U109" s="37" t="s">
        <v>803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133</v>
      </c>
      <c r="AA109" t="s">
        <v>804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805</v>
      </c>
      <c r="AN109" s="43" t="s">
        <v>806</v>
      </c>
    </row>
    <row r="110" spans="1:40" ht="29.1">
      <c r="A110" s="14">
        <v>3705728</v>
      </c>
      <c r="B110" s="14" t="s">
        <v>65</v>
      </c>
      <c r="C110" s="14" t="s">
        <v>412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123</v>
      </c>
      <c r="I110" s="14" t="s">
        <v>124</v>
      </c>
      <c r="J110" s="14" t="s">
        <v>807</v>
      </c>
      <c r="K110" s="14"/>
      <c r="L110" s="14" t="s">
        <v>4</v>
      </c>
      <c r="M110" s="14" t="s">
        <v>138</v>
      </c>
      <c r="N110" s="14" t="s">
        <v>808</v>
      </c>
      <c r="O110" s="14" t="s">
        <v>506</v>
      </c>
      <c r="P110" s="17" t="s">
        <v>809</v>
      </c>
      <c r="Q110" s="14" t="s">
        <v>129</v>
      </c>
      <c r="R110" s="14" t="s">
        <v>213</v>
      </c>
      <c r="S110" s="28">
        <v>3213770000</v>
      </c>
      <c r="T110" s="35" t="s">
        <v>810</v>
      </c>
      <c r="U110" s="37" t="s">
        <v>811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133</v>
      </c>
      <c r="AA110" t="s">
        <v>812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M110"/>
      <c r="AN110" s="29" t="s">
        <v>813</v>
      </c>
    </row>
    <row r="111" spans="1:40" ht="29.1">
      <c r="A111" s="14">
        <v>3705921</v>
      </c>
      <c r="B111" s="14" t="s">
        <v>69</v>
      </c>
      <c r="C111" s="14" t="s">
        <v>651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123</v>
      </c>
      <c r="I111" s="14" t="s">
        <v>124</v>
      </c>
      <c r="J111" s="14" t="s">
        <v>814</v>
      </c>
      <c r="K111" s="14"/>
      <c r="L111" s="14" t="s">
        <v>6</v>
      </c>
      <c r="M111" s="14" t="s">
        <v>641</v>
      </c>
      <c r="N111" s="14" t="s">
        <v>815</v>
      </c>
      <c r="O111" s="14" t="s">
        <v>486</v>
      </c>
      <c r="P111" s="17" t="s">
        <v>816</v>
      </c>
      <c r="Q111" s="14" t="s">
        <v>129</v>
      </c>
      <c r="R111" s="14" t="s">
        <v>130</v>
      </c>
      <c r="S111" s="28" t="s">
        <v>817</v>
      </c>
      <c r="T111" s="35" t="s">
        <v>818</v>
      </c>
      <c r="U111" s="37" t="s">
        <v>819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133</v>
      </c>
      <c r="AA111" t="s">
        <v>820</v>
      </c>
      <c r="AD111" t="s">
        <v>58</v>
      </c>
      <c r="AE111">
        <v>3</v>
      </c>
      <c r="AF111" t="s">
        <v>29</v>
      </c>
      <c r="AM111"/>
      <c r="AN111" s="29"/>
    </row>
    <row r="112" spans="1:40" ht="29.1">
      <c r="A112" s="14">
        <v>3705971</v>
      </c>
      <c r="B112" s="14" t="s">
        <v>72</v>
      </c>
      <c r="C112" s="14" t="s">
        <v>590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123</v>
      </c>
      <c r="I112" s="14" t="s">
        <v>124</v>
      </c>
      <c r="J112" s="14" t="s">
        <v>821</v>
      </c>
      <c r="K112" s="14"/>
      <c r="L112" s="14" t="s">
        <v>4</v>
      </c>
      <c r="M112" s="14" t="s">
        <v>138</v>
      </c>
      <c r="N112" s="45" t="s">
        <v>822</v>
      </c>
      <c r="O112" s="14" t="s">
        <v>460</v>
      </c>
      <c r="P112" s="17" t="s">
        <v>823</v>
      </c>
      <c r="Q112" s="14" t="s">
        <v>212</v>
      </c>
      <c r="R112" s="14" t="s">
        <v>213</v>
      </c>
      <c r="S112" s="28">
        <v>3102386140</v>
      </c>
      <c r="T112" s="35" t="s">
        <v>191</v>
      </c>
      <c r="U112" s="37" t="s">
        <v>824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133</v>
      </c>
      <c r="AA112" t="s">
        <v>825</v>
      </c>
      <c r="AD112" t="s">
        <v>57</v>
      </c>
      <c r="AE112">
        <v>3</v>
      </c>
      <c r="AF112" t="s">
        <v>826</v>
      </c>
      <c r="AG112" t="s">
        <v>28</v>
      </c>
      <c r="AH112" t="s">
        <v>36</v>
      </c>
      <c r="AI112" s="23">
        <v>46237</v>
      </c>
      <c r="AL112" t="s">
        <v>58</v>
      </c>
      <c r="AM112" t="s">
        <v>805</v>
      </c>
      <c r="AN112" s="29" t="s">
        <v>827</v>
      </c>
    </row>
    <row r="113" spans="1:40" ht="29.1">
      <c r="A113" s="14">
        <v>3706034</v>
      </c>
      <c r="B113" s="14" t="s">
        <v>69</v>
      </c>
      <c r="C113" s="14" t="s">
        <v>651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123</v>
      </c>
      <c r="I113" s="14" t="s">
        <v>124</v>
      </c>
      <c r="J113" s="14" t="s">
        <v>828</v>
      </c>
      <c r="K113" s="14" t="s">
        <v>829</v>
      </c>
      <c r="L113" s="14" t="s">
        <v>6</v>
      </c>
      <c r="M113" s="14" t="s">
        <v>641</v>
      </c>
      <c r="N113" s="14" t="s">
        <v>830</v>
      </c>
      <c r="O113" s="14" t="s">
        <v>486</v>
      </c>
      <c r="P113" s="17" t="s">
        <v>831</v>
      </c>
      <c r="Q113" s="14" t="s">
        <v>593</v>
      </c>
      <c r="R113" s="14" t="s">
        <v>163</v>
      </c>
      <c r="S113" s="28">
        <v>3053375850</v>
      </c>
      <c r="T113" s="35">
        <v>3053375850</v>
      </c>
      <c r="U113" s="37" t="s">
        <v>832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133</v>
      </c>
      <c r="AA113" t="s">
        <v>833</v>
      </c>
      <c r="AD113" t="s">
        <v>59</v>
      </c>
      <c r="AE113">
        <v>3</v>
      </c>
      <c r="AM113"/>
      <c r="AN113" s="29"/>
    </row>
    <row r="114" spans="1:40" ht="29.1">
      <c r="A114" s="14">
        <v>3706093</v>
      </c>
      <c r="B114" s="14" t="s">
        <v>12</v>
      </c>
      <c r="C114" s="14" t="s">
        <v>834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123</v>
      </c>
      <c r="I114" s="14" t="s">
        <v>124</v>
      </c>
      <c r="J114" s="14" t="s">
        <v>835</v>
      </c>
      <c r="K114" s="14"/>
      <c r="L114" s="14" t="s">
        <v>6</v>
      </c>
      <c r="M114" s="14" t="s">
        <v>152</v>
      </c>
      <c r="N114" s="14" t="s">
        <v>836</v>
      </c>
      <c r="O114" s="14" t="s">
        <v>486</v>
      </c>
      <c r="P114" s="17" t="s">
        <v>837</v>
      </c>
      <c r="Q114" s="14" t="s">
        <v>212</v>
      </c>
      <c r="R114" s="14" t="s">
        <v>213</v>
      </c>
      <c r="S114" s="14" t="s">
        <v>838</v>
      </c>
      <c r="T114" s="18" t="s">
        <v>839</v>
      </c>
      <c r="U114" s="37" t="s">
        <v>840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133</v>
      </c>
      <c r="AA114" t="s">
        <v>841</v>
      </c>
      <c r="AD114" t="s">
        <v>59</v>
      </c>
      <c r="AE114">
        <v>3</v>
      </c>
      <c r="AM114"/>
      <c r="AN114" s="29"/>
    </row>
    <row r="115" spans="1:40" ht="29.1">
      <c r="A115" s="14">
        <v>3706128</v>
      </c>
      <c r="B115" s="14" t="s">
        <v>12</v>
      </c>
      <c r="C115" s="14" t="s">
        <v>834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123</v>
      </c>
      <c r="I115" s="14" t="s">
        <v>124</v>
      </c>
      <c r="J115" s="14" t="s">
        <v>842</v>
      </c>
      <c r="K115" s="14"/>
      <c r="L115" s="14" t="s">
        <v>6</v>
      </c>
      <c r="M115" s="14" t="s">
        <v>152</v>
      </c>
      <c r="N115" s="14" t="s">
        <v>843</v>
      </c>
      <c r="O115" s="14" t="s">
        <v>486</v>
      </c>
      <c r="P115" s="17" t="s">
        <v>844</v>
      </c>
      <c r="Q115" s="14" t="s">
        <v>593</v>
      </c>
      <c r="R115" s="14" t="s">
        <v>213</v>
      </c>
      <c r="S115" s="14" t="s">
        <v>845</v>
      </c>
      <c r="T115" s="18" t="s">
        <v>846</v>
      </c>
      <c r="U115" s="37" t="s">
        <v>847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133</v>
      </c>
      <c r="AA115" t="s">
        <v>848</v>
      </c>
      <c r="AD115" t="s">
        <v>58</v>
      </c>
      <c r="AE115">
        <v>3</v>
      </c>
      <c r="AF115" t="s">
        <v>29</v>
      </c>
      <c r="AM115"/>
      <c r="AN115" s="29"/>
    </row>
    <row r="116" spans="1:40" ht="29.1">
      <c r="A116" s="14">
        <v>3706152</v>
      </c>
      <c r="B116" s="14" t="s">
        <v>16</v>
      </c>
      <c r="C116" s="14" t="s">
        <v>228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123</v>
      </c>
      <c r="I116" s="14" t="s">
        <v>124</v>
      </c>
      <c r="J116" s="14" t="s">
        <v>849</v>
      </c>
      <c r="K116" s="14" t="s">
        <v>850</v>
      </c>
      <c r="L116" s="14" t="s">
        <v>4</v>
      </c>
      <c r="M116" s="14" t="s">
        <v>851</v>
      </c>
      <c r="N116" s="14" t="s">
        <v>852</v>
      </c>
      <c r="O116" s="14" t="s">
        <v>506</v>
      </c>
      <c r="P116" s="17" t="s">
        <v>853</v>
      </c>
      <c r="Q116" s="14" t="s">
        <v>593</v>
      </c>
      <c r="R116" s="14" t="s">
        <v>488</v>
      </c>
      <c r="S116" s="28">
        <v>3123855478</v>
      </c>
      <c r="T116" s="18" t="s">
        <v>283</v>
      </c>
      <c r="U116" s="37" t="s">
        <v>854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133</v>
      </c>
      <c r="AA116" t="s">
        <v>855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>
      <c r="A117" s="14">
        <v>3709296</v>
      </c>
      <c r="B117" s="14" t="s">
        <v>74</v>
      </c>
      <c r="C117" s="14" t="s">
        <v>856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123</v>
      </c>
      <c r="I117" s="14" t="s">
        <v>124</v>
      </c>
      <c r="J117" s="14" t="s">
        <v>857</v>
      </c>
      <c r="K117" s="14"/>
      <c r="L117" s="14" t="s">
        <v>6</v>
      </c>
      <c r="M117" s="14" t="s">
        <v>641</v>
      </c>
      <c r="N117" s="14" t="s">
        <v>858</v>
      </c>
      <c r="O117" s="14" t="s">
        <v>486</v>
      </c>
      <c r="P117" s="17" t="s">
        <v>859</v>
      </c>
      <c r="Q117" s="14" t="s">
        <v>212</v>
      </c>
      <c r="R117" s="14" t="s">
        <v>213</v>
      </c>
      <c r="S117" s="28" t="s">
        <v>860</v>
      </c>
      <c r="T117" s="18" t="s">
        <v>631</v>
      </c>
      <c r="U117" s="37" t="s">
        <v>861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133</v>
      </c>
      <c r="AA117" t="s">
        <v>862</v>
      </c>
      <c r="AD117" t="s">
        <v>59</v>
      </c>
      <c r="AE117">
        <v>3</v>
      </c>
      <c r="AM117"/>
      <c r="AN117" s="29"/>
    </row>
    <row r="118" spans="1:40" ht="29.1">
      <c r="A118" s="14">
        <v>3709374</v>
      </c>
      <c r="B118" s="14" t="s">
        <v>70</v>
      </c>
      <c r="C118" s="14" t="s">
        <v>541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123</v>
      </c>
      <c r="I118" s="14" t="s">
        <v>863</v>
      </c>
      <c r="J118" s="14" t="s">
        <v>864</v>
      </c>
      <c r="K118" s="14"/>
      <c r="L118" s="14" t="s">
        <v>4</v>
      </c>
      <c r="M118" s="14" t="s">
        <v>138</v>
      </c>
      <c r="N118" s="14" t="s">
        <v>865</v>
      </c>
      <c r="O118" s="14" t="s">
        <v>506</v>
      </c>
      <c r="P118" s="17" t="s">
        <v>866</v>
      </c>
      <c r="Q118" s="14" t="s">
        <v>129</v>
      </c>
      <c r="R118" s="14" t="s">
        <v>130</v>
      </c>
      <c r="S118" s="28">
        <v>3155215531</v>
      </c>
      <c r="T118" s="18" t="s">
        <v>867</v>
      </c>
      <c r="U118" s="37" t="s">
        <v>868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133</v>
      </c>
      <c r="AA118" t="s">
        <v>869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customHeight="1">
      <c r="A119" s="14">
        <v>3709378</v>
      </c>
      <c r="B119" s="14" t="s">
        <v>68</v>
      </c>
      <c r="C119" s="14" t="s">
        <v>528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123</v>
      </c>
      <c r="I119" s="14" t="s">
        <v>124</v>
      </c>
      <c r="J119" s="14" t="s">
        <v>870</v>
      </c>
      <c r="K119" s="14"/>
      <c r="L119" s="14" t="s">
        <v>4</v>
      </c>
      <c r="M119" s="14" t="s">
        <v>138</v>
      </c>
      <c r="N119" s="14" t="s">
        <v>871</v>
      </c>
      <c r="O119" s="14" t="s">
        <v>460</v>
      </c>
      <c r="P119" s="17" t="s">
        <v>872</v>
      </c>
      <c r="Q119" s="14" t="s">
        <v>593</v>
      </c>
      <c r="R119" s="14" t="s">
        <v>130</v>
      </c>
      <c r="S119" s="28">
        <v>3108252119</v>
      </c>
      <c r="T119" s="18" t="s">
        <v>873</v>
      </c>
      <c r="U119" s="37" t="s">
        <v>874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133</v>
      </c>
      <c r="AA119" t="s">
        <v>875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876</v>
      </c>
    </row>
    <row r="120" spans="1:40" ht="29.1">
      <c r="A120" s="14">
        <v>3709542</v>
      </c>
      <c r="B120" s="14" t="s">
        <v>72</v>
      </c>
      <c r="C120" s="14" t="s">
        <v>590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123</v>
      </c>
      <c r="I120" s="14" t="s">
        <v>124</v>
      </c>
      <c r="J120" s="14" t="s">
        <v>877</v>
      </c>
      <c r="K120" s="14"/>
      <c r="L120" s="14" t="s">
        <v>4</v>
      </c>
      <c r="M120" s="14" t="s">
        <v>178</v>
      </c>
      <c r="N120" s="14" t="s">
        <v>878</v>
      </c>
      <c r="O120" s="14" t="s">
        <v>460</v>
      </c>
      <c r="P120" s="17" t="s">
        <v>879</v>
      </c>
      <c r="Q120" s="14" t="s">
        <v>129</v>
      </c>
      <c r="R120" s="14" t="s">
        <v>130</v>
      </c>
      <c r="S120" s="28">
        <v>3208315870</v>
      </c>
      <c r="T120" s="18" t="s">
        <v>191</v>
      </c>
      <c r="U120" s="37" t="s">
        <v>880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133</v>
      </c>
      <c r="AA120" t="s">
        <v>881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>
      <c r="A121" s="14">
        <v>3709560</v>
      </c>
      <c r="B121" s="14" t="s">
        <v>74</v>
      </c>
      <c r="C121" s="14" t="s">
        <v>856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123</v>
      </c>
      <c r="I121" s="14" t="s">
        <v>124</v>
      </c>
      <c r="J121" s="14" t="s">
        <v>882</v>
      </c>
      <c r="K121" s="14"/>
      <c r="L121" s="14" t="s">
        <v>6</v>
      </c>
      <c r="M121" s="14" t="s">
        <v>641</v>
      </c>
      <c r="N121" s="14" t="s">
        <v>883</v>
      </c>
      <c r="O121" s="14" t="s">
        <v>486</v>
      </c>
      <c r="P121" s="17" t="s">
        <v>884</v>
      </c>
      <c r="Q121" s="14" t="s">
        <v>129</v>
      </c>
      <c r="R121" s="14" t="s">
        <v>213</v>
      </c>
      <c r="S121" s="28" t="s">
        <v>885</v>
      </c>
      <c r="T121" s="18" t="s">
        <v>886</v>
      </c>
      <c r="U121" s="37" t="s">
        <v>887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133</v>
      </c>
      <c r="AA121" t="s">
        <v>888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>
      <c r="A122" s="14">
        <v>3709581</v>
      </c>
      <c r="B122" s="14" t="s">
        <v>18</v>
      </c>
      <c r="C122" s="14" t="s">
        <v>236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123</v>
      </c>
      <c r="I122" s="14" t="s">
        <v>124</v>
      </c>
      <c r="J122" s="14" t="s">
        <v>889</v>
      </c>
      <c r="K122" s="14"/>
      <c r="L122" s="14" t="s">
        <v>4</v>
      </c>
      <c r="M122" s="14" t="s">
        <v>138</v>
      </c>
      <c r="N122" s="14" t="s">
        <v>890</v>
      </c>
      <c r="O122" s="14" t="s">
        <v>460</v>
      </c>
      <c r="P122" s="17" t="s">
        <v>891</v>
      </c>
      <c r="Q122" s="14" t="s">
        <v>129</v>
      </c>
      <c r="R122" s="14" t="s">
        <v>130</v>
      </c>
      <c r="S122" s="28">
        <v>3212132183</v>
      </c>
      <c r="T122" s="18" t="s">
        <v>440</v>
      </c>
      <c r="U122" s="37" t="s">
        <v>892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133</v>
      </c>
      <c r="AA122" t="s">
        <v>893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>
      <c r="A123" s="14">
        <v>3706145</v>
      </c>
      <c r="B123" s="14" t="s">
        <v>12</v>
      </c>
      <c r="C123" s="14" t="s">
        <v>834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123</v>
      </c>
      <c r="I123" s="14" t="s">
        <v>124</v>
      </c>
      <c r="J123" s="14" t="s">
        <v>894</v>
      </c>
      <c r="K123" s="14"/>
      <c r="L123" s="14" t="s">
        <v>6</v>
      </c>
      <c r="M123" s="14" t="s">
        <v>152</v>
      </c>
      <c r="N123" s="14" t="s">
        <v>895</v>
      </c>
      <c r="O123" s="14" t="s">
        <v>486</v>
      </c>
      <c r="P123" s="17" t="s">
        <v>896</v>
      </c>
      <c r="Q123" s="14" t="s">
        <v>212</v>
      </c>
      <c r="R123" s="14" t="s">
        <v>213</v>
      </c>
      <c r="S123" s="14" t="s">
        <v>845</v>
      </c>
      <c r="T123" s="18" t="s">
        <v>897</v>
      </c>
      <c r="U123" s="37" t="s">
        <v>898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133</v>
      </c>
      <c r="AD123" t="s">
        <v>59</v>
      </c>
      <c r="AE123">
        <v>3</v>
      </c>
      <c r="AM123"/>
      <c r="AN123" s="29"/>
    </row>
    <row r="124" spans="1:40" ht="33.950000000000003" customHeight="1">
      <c r="A124" s="14">
        <v>3709504</v>
      </c>
      <c r="B124" s="14" t="s">
        <v>74</v>
      </c>
      <c r="C124" s="14" t="s">
        <v>856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123</v>
      </c>
      <c r="I124" s="14" t="s">
        <v>124</v>
      </c>
      <c r="J124" s="14" t="s">
        <v>899</v>
      </c>
      <c r="K124" s="14"/>
      <c r="L124" s="14" t="s">
        <v>6</v>
      </c>
      <c r="M124" s="14" t="s">
        <v>641</v>
      </c>
      <c r="N124" s="14" t="s">
        <v>900</v>
      </c>
      <c r="O124" s="14" t="s">
        <v>486</v>
      </c>
      <c r="P124" s="17" t="s">
        <v>901</v>
      </c>
      <c r="Q124" s="14" t="s">
        <v>129</v>
      </c>
      <c r="R124" s="14" t="s">
        <v>902</v>
      </c>
      <c r="S124" s="28" t="s">
        <v>903</v>
      </c>
      <c r="T124" s="18" t="s">
        <v>631</v>
      </c>
      <c r="U124" s="37" t="s">
        <v>904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133</v>
      </c>
      <c r="AA124" t="s">
        <v>905</v>
      </c>
      <c r="AD124" t="s">
        <v>57</v>
      </c>
      <c r="AE124">
        <v>3</v>
      </c>
      <c r="AM124"/>
      <c r="AN124" s="29"/>
    </row>
    <row r="125" spans="1:40" ht="29.1">
      <c r="A125" s="14">
        <v>3709661</v>
      </c>
      <c r="B125" s="14" t="s">
        <v>64</v>
      </c>
      <c r="C125" s="14" t="s">
        <v>645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123</v>
      </c>
      <c r="I125" s="14" t="s">
        <v>124</v>
      </c>
      <c r="J125" s="14" t="s">
        <v>906</v>
      </c>
      <c r="K125" s="14"/>
      <c r="L125" s="14" t="s">
        <v>4</v>
      </c>
      <c r="M125" s="14" t="s">
        <v>138</v>
      </c>
      <c r="N125" s="14" t="s">
        <v>907</v>
      </c>
      <c r="O125" s="14" t="s">
        <v>506</v>
      </c>
      <c r="P125" s="14" t="s">
        <v>908</v>
      </c>
      <c r="Q125" s="14" t="s">
        <v>593</v>
      </c>
      <c r="R125" s="14" t="s">
        <v>130</v>
      </c>
      <c r="S125" s="28">
        <v>3202655742</v>
      </c>
      <c r="T125" s="35" t="s">
        <v>440</v>
      </c>
      <c r="U125" s="37" t="s">
        <v>909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133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>
      <c r="A126" s="14">
        <v>3709689</v>
      </c>
      <c r="B126" s="14" t="s">
        <v>19</v>
      </c>
      <c r="C126" s="14" t="s">
        <v>244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123</v>
      </c>
      <c r="I126" s="14" t="s">
        <v>124</v>
      </c>
      <c r="J126" s="14" t="s">
        <v>910</v>
      </c>
      <c r="K126" s="14"/>
      <c r="L126" s="14" t="s">
        <v>4</v>
      </c>
      <c r="M126" s="14" t="s">
        <v>851</v>
      </c>
      <c r="N126" s="14" t="s">
        <v>911</v>
      </c>
      <c r="O126" s="14" t="s">
        <v>506</v>
      </c>
      <c r="P126" s="14" t="s">
        <v>912</v>
      </c>
      <c r="Q126" s="14" t="s">
        <v>129</v>
      </c>
      <c r="R126" s="14" t="s">
        <v>130</v>
      </c>
      <c r="S126" s="28">
        <v>3102077522</v>
      </c>
      <c r="T126" s="35" t="s">
        <v>249</v>
      </c>
      <c r="U126" s="38" t="s">
        <v>913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133</v>
      </c>
      <c r="AD126" t="s">
        <v>58</v>
      </c>
      <c r="AE126">
        <v>3</v>
      </c>
      <c r="AM126"/>
      <c r="AN126" s="29"/>
    </row>
    <row r="127" spans="1:40" ht="29.1">
      <c r="A127" s="14">
        <v>3709694</v>
      </c>
      <c r="B127" s="14" t="s">
        <v>19</v>
      </c>
      <c r="C127" s="14" t="s">
        <v>244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123</v>
      </c>
      <c r="I127" s="14" t="s">
        <v>124</v>
      </c>
      <c r="J127" s="14" t="s">
        <v>914</v>
      </c>
      <c r="K127" s="14"/>
      <c r="L127" s="14" t="s">
        <v>4</v>
      </c>
      <c r="M127" s="14" t="s">
        <v>851</v>
      </c>
      <c r="N127" s="14" t="s">
        <v>915</v>
      </c>
      <c r="O127" s="14" t="s">
        <v>506</v>
      </c>
      <c r="P127" s="14" t="s">
        <v>916</v>
      </c>
      <c r="Q127" s="14" t="s">
        <v>129</v>
      </c>
      <c r="R127" s="14" t="s">
        <v>130</v>
      </c>
      <c r="S127" s="28">
        <v>3118053860</v>
      </c>
      <c r="T127" s="35" t="s">
        <v>500</v>
      </c>
      <c r="U127" s="38" t="s">
        <v>917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133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>
      <c r="A128" s="14">
        <v>3709716</v>
      </c>
      <c r="B128" s="14" t="s">
        <v>14</v>
      </c>
      <c r="C128" s="14" t="s">
        <v>167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123</v>
      </c>
      <c r="I128" s="14" t="s">
        <v>124</v>
      </c>
      <c r="J128" s="14" t="s">
        <v>918</v>
      </c>
      <c r="K128" s="14"/>
      <c r="L128" s="14" t="s">
        <v>6</v>
      </c>
      <c r="M128" s="14" t="s">
        <v>152</v>
      </c>
      <c r="N128" s="14" t="s">
        <v>919</v>
      </c>
      <c r="O128" s="14" t="s">
        <v>486</v>
      </c>
      <c r="P128" s="17" t="s">
        <v>920</v>
      </c>
      <c r="Q128" s="14" t="s">
        <v>129</v>
      </c>
      <c r="R128" s="14" t="s">
        <v>130</v>
      </c>
      <c r="S128" s="28">
        <v>3148881602</v>
      </c>
      <c r="T128" s="35" t="s">
        <v>313</v>
      </c>
      <c r="U128" s="38" t="s">
        <v>921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133</v>
      </c>
      <c r="AD128" t="s">
        <v>57</v>
      </c>
      <c r="AE128">
        <v>3</v>
      </c>
      <c r="AM128"/>
      <c r="AN128" s="29"/>
    </row>
    <row r="129" spans="1:40" ht="29.1">
      <c r="A129" s="14">
        <v>3709641</v>
      </c>
      <c r="B129" s="14" t="s">
        <v>61</v>
      </c>
      <c r="C129" s="14" t="s">
        <v>476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123</v>
      </c>
      <c r="I129" s="14" t="s">
        <v>124</v>
      </c>
      <c r="J129" s="14" t="s">
        <v>922</v>
      </c>
      <c r="K129" s="14"/>
      <c r="L129" s="14" t="s">
        <v>4</v>
      </c>
      <c r="M129" s="14" t="s">
        <v>138</v>
      </c>
      <c r="N129" s="14" t="s">
        <v>923</v>
      </c>
      <c r="O129" s="14" t="s">
        <v>460</v>
      </c>
      <c r="P129" s="14" t="s">
        <v>924</v>
      </c>
      <c r="Q129" s="14" t="s">
        <v>129</v>
      </c>
      <c r="R129" s="14" t="s">
        <v>130</v>
      </c>
      <c r="S129" s="28">
        <v>3114857338</v>
      </c>
      <c r="T129" s="35">
        <v>3114857338</v>
      </c>
      <c r="U129" s="38" t="s">
        <v>925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926</v>
      </c>
      <c r="AD129" t="s">
        <v>58</v>
      </c>
      <c r="AE129">
        <v>3</v>
      </c>
      <c r="AF129" t="s">
        <v>29</v>
      </c>
      <c r="AM129"/>
      <c r="AN129" s="29"/>
    </row>
    <row r="130" spans="1:40" ht="43.5">
      <c r="A130" s="14">
        <v>3709757</v>
      </c>
      <c r="B130" s="14" t="s">
        <v>61</v>
      </c>
      <c r="C130" s="14" t="s">
        <v>476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123</v>
      </c>
      <c r="I130" s="14" t="s">
        <v>124</v>
      </c>
      <c r="J130" s="14" t="s">
        <v>927</v>
      </c>
      <c r="K130" s="14"/>
      <c r="L130" s="14" t="s">
        <v>4</v>
      </c>
      <c r="M130" s="14" t="s">
        <v>138</v>
      </c>
      <c r="N130" s="14" t="s">
        <v>928</v>
      </c>
      <c r="O130" s="14" t="s">
        <v>486</v>
      </c>
      <c r="P130" s="14" t="s">
        <v>929</v>
      </c>
      <c r="Q130" s="14" t="s">
        <v>212</v>
      </c>
      <c r="R130" s="14" t="s">
        <v>213</v>
      </c>
      <c r="S130" s="28">
        <v>3102400431</v>
      </c>
      <c r="T130" s="35">
        <v>3102400431</v>
      </c>
      <c r="U130" s="38" t="s">
        <v>930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133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931</v>
      </c>
    </row>
    <row r="131" spans="1:40" ht="29.1">
      <c r="A131" s="14">
        <v>3709760</v>
      </c>
      <c r="B131" s="14" t="s">
        <v>61</v>
      </c>
      <c r="C131" s="14" t="s">
        <v>476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123</v>
      </c>
      <c r="I131" s="14" t="s">
        <v>124</v>
      </c>
      <c r="J131" s="14" t="s">
        <v>932</v>
      </c>
      <c r="K131" s="14"/>
      <c r="L131" s="14" t="s">
        <v>4</v>
      </c>
      <c r="M131" s="14" t="s">
        <v>138</v>
      </c>
      <c r="N131" s="14" t="s">
        <v>933</v>
      </c>
      <c r="O131" s="14" t="s">
        <v>460</v>
      </c>
      <c r="P131" s="14" t="s">
        <v>934</v>
      </c>
      <c r="Q131" s="14" t="s">
        <v>212</v>
      </c>
      <c r="R131" s="14" t="s">
        <v>130</v>
      </c>
      <c r="S131" s="28">
        <v>3152331861</v>
      </c>
      <c r="T131" s="35">
        <v>3152331861</v>
      </c>
      <c r="U131" s="38" t="s">
        <v>935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133</v>
      </c>
      <c r="AD131" t="s">
        <v>58</v>
      </c>
      <c r="AE131">
        <v>3</v>
      </c>
      <c r="AF131" t="s">
        <v>50</v>
      </c>
      <c r="AM131"/>
      <c r="AN131" s="29"/>
    </row>
    <row r="132" spans="1:40" ht="29.1">
      <c r="A132" s="14">
        <v>3709823</v>
      </c>
      <c r="B132" s="14" t="s">
        <v>15</v>
      </c>
      <c r="C132" s="14" t="s">
        <v>207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123</v>
      </c>
      <c r="I132" s="14" t="s">
        <v>124</v>
      </c>
      <c r="J132" s="14" t="s">
        <v>936</v>
      </c>
      <c r="K132" s="14"/>
      <c r="L132" s="14" t="s">
        <v>4</v>
      </c>
      <c r="M132" s="14" t="s">
        <v>138</v>
      </c>
      <c r="N132" s="14" t="s">
        <v>937</v>
      </c>
      <c r="O132" s="14" t="s">
        <v>506</v>
      </c>
      <c r="P132" s="14" t="s">
        <v>938</v>
      </c>
      <c r="Q132" s="14" t="s">
        <v>129</v>
      </c>
      <c r="R132" s="14" t="s">
        <v>163</v>
      </c>
      <c r="S132" s="28">
        <v>3197316690</v>
      </c>
      <c r="T132" s="35" t="s">
        <v>939</v>
      </c>
      <c r="U132" s="38" t="s">
        <v>940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133</v>
      </c>
      <c r="AD132" t="s">
        <v>58</v>
      </c>
      <c r="AE132">
        <v>3</v>
      </c>
      <c r="AF132" t="s">
        <v>29</v>
      </c>
      <c r="AM132"/>
      <c r="AN132" s="29"/>
    </row>
    <row r="133" spans="1:40" ht="29.1">
      <c r="A133" s="14">
        <v>3709826</v>
      </c>
      <c r="B133" s="14" t="s">
        <v>15</v>
      </c>
      <c r="C133" s="14" t="s">
        <v>207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123</v>
      </c>
      <c r="I133" s="14" t="s">
        <v>124</v>
      </c>
      <c r="J133" s="14" t="s">
        <v>941</v>
      </c>
      <c r="K133" s="14"/>
      <c r="L133" s="14" t="s">
        <v>4</v>
      </c>
      <c r="M133" s="14" t="s">
        <v>138</v>
      </c>
      <c r="N133" s="14" t="s">
        <v>942</v>
      </c>
      <c r="O133" s="14" t="s">
        <v>506</v>
      </c>
      <c r="P133" s="14" t="s">
        <v>943</v>
      </c>
      <c r="Q133" s="14" t="s">
        <v>129</v>
      </c>
      <c r="R133" s="14" t="s">
        <v>130</v>
      </c>
      <c r="S133" s="28">
        <v>3165326461</v>
      </c>
      <c r="T133" s="35" t="s">
        <v>944</v>
      </c>
      <c r="U133" s="38" t="s">
        <v>945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133</v>
      </c>
      <c r="AD133" t="s">
        <v>58</v>
      </c>
      <c r="AE133">
        <v>3</v>
      </c>
      <c r="AF133" t="s">
        <v>29</v>
      </c>
      <c r="AM133"/>
      <c r="AN133" s="29"/>
    </row>
    <row r="134" spans="1:40" ht="29.1">
      <c r="A134" s="14">
        <v>3709847</v>
      </c>
      <c r="B134" s="14" t="s">
        <v>75</v>
      </c>
      <c r="C134" s="14" t="s">
        <v>135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123</v>
      </c>
      <c r="I134" s="14" t="s">
        <v>124</v>
      </c>
      <c r="J134" s="14" t="s">
        <v>946</v>
      </c>
      <c r="K134" s="14"/>
      <c r="L134" s="14" t="s">
        <v>4</v>
      </c>
      <c r="M134" s="14" t="s">
        <v>138</v>
      </c>
      <c r="N134" s="14" t="s">
        <v>947</v>
      </c>
      <c r="O134" s="14" t="s">
        <v>506</v>
      </c>
      <c r="P134" s="14" t="s">
        <v>948</v>
      </c>
      <c r="Q134" s="14" t="s">
        <v>129</v>
      </c>
      <c r="R134" s="14" t="s">
        <v>213</v>
      </c>
      <c r="S134" s="28">
        <v>3108603076</v>
      </c>
      <c r="T134" s="35">
        <v>3204247924</v>
      </c>
      <c r="U134" s="38" t="s">
        <v>949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133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950</v>
      </c>
      <c r="AN134" s="29"/>
    </row>
    <row r="135" spans="1:40" ht="29.1">
      <c r="A135" s="14">
        <v>3709764</v>
      </c>
      <c r="B135" s="14" t="s">
        <v>11</v>
      </c>
      <c r="C135" s="14" t="s">
        <v>334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123</v>
      </c>
      <c r="I135" s="14" t="s">
        <v>124</v>
      </c>
      <c r="J135" s="14" t="s">
        <v>951</v>
      </c>
      <c r="K135" s="14"/>
      <c r="L135" s="14" t="s">
        <v>4</v>
      </c>
      <c r="M135" s="14" t="s">
        <v>138</v>
      </c>
      <c r="N135" s="14" t="s">
        <v>952</v>
      </c>
      <c r="O135" s="14" t="s">
        <v>506</v>
      </c>
      <c r="P135" s="14" t="s">
        <v>953</v>
      </c>
      <c r="Q135" s="14" t="s">
        <v>129</v>
      </c>
      <c r="R135" s="14" t="s">
        <v>213</v>
      </c>
      <c r="S135" s="28">
        <v>3182433298</v>
      </c>
      <c r="T135" s="35" t="s">
        <v>447</v>
      </c>
      <c r="U135" s="38" t="s">
        <v>954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133</v>
      </c>
      <c r="AD135" t="s">
        <v>58</v>
      </c>
      <c r="AE135">
        <v>3</v>
      </c>
      <c r="AF135" t="s">
        <v>29</v>
      </c>
      <c r="AM135"/>
      <c r="AN135" s="29"/>
    </row>
    <row r="136" spans="1:40" ht="29.1">
      <c r="A136" s="14">
        <v>3709768</v>
      </c>
      <c r="B136" s="14" t="s">
        <v>11</v>
      </c>
      <c r="C136" s="14" t="s">
        <v>334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123</v>
      </c>
      <c r="I136" s="14" t="s">
        <v>124</v>
      </c>
      <c r="J136" s="14" t="s">
        <v>955</v>
      </c>
      <c r="K136" s="14"/>
      <c r="L136" s="14" t="s">
        <v>4</v>
      </c>
      <c r="M136" s="14" t="s">
        <v>138</v>
      </c>
      <c r="N136" s="14" t="s">
        <v>956</v>
      </c>
      <c r="O136" s="14" t="s">
        <v>506</v>
      </c>
      <c r="P136" s="14" t="s">
        <v>957</v>
      </c>
      <c r="Q136" s="14" t="s">
        <v>593</v>
      </c>
      <c r="R136" s="14" t="s">
        <v>522</v>
      </c>
      <c r="S136" s="28">
        <v>3173724085</v>
      </c>
      <c r="T136" s="35" t="s">
        <v>447</v>
      </c>
      <c r="U136" s="38" t="s">
        <v>958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133</v>
      </c>
      <c r="AD136" t="s">
        <v>58</v>
      </c>
      <c r="AE136">
        <v>3</v>
      </c>
      <c r="AF136" t="s">
        <v>29</v>
      </c>
      <c r="AM136"/>
      <c r="AN136" s="29"/>
    </row>
    <row r="137" spans="1:40" ht="29.1">
      <c r="A137" s="14">
        <v>3709784</v>
      </c>
      <c r="B137" s="14" t="s">
        <v>11</v>
      </c>
      <c r="C137" s="14" t="s">
        <v>334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123</v>
      </c>
      <c r="I137" s="14" t="s">
        <v>124</v>
      </c>
      <c r="J137" s="14" t="s">
        <v>959</v>
      </c>
      <c r="K137" s="14"/>
      <c r="L137" s="14" t="s">
        <v>4</v>
      </c>
      <c r="M137" s="14" t="s">
        <v>138</v>
      </c>
      <c r="N137" s="14" t="s">
        <v>960</v>
      </c>
      <c r="O137" s="14" t="s">
        <v>506</v>
      </c>
      <c r="P137" s="14" t="s">
        <v>961</v>
      </c>
      <c r="Q137" s="14" t="s">
        <v>593</v>
      </c>
      <c r="R137" s="14" t="s">
        <v>130</v>
      </c>
      <c r="S137" s="28">
        <v>3204805403</v>
      </c>
      <c r="T137" s="35" t="s">
        <v>447</v>
      </c>
      <c r="U137" s="38" t="s">
        <v>962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133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963</v>
      </c>
      <c r="AN137" s="29"/>
    </row>
    <row r="138" spans="1:40" ht="29.1">
      <c r="A138" s="14">
        <v>3713238</v>
      </c>
      <c r="B138" s="14" t="s">
        <v>76</v>
      </c>
      <c r="C138" s="14" t="s">
        <v>585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123</v>
      </c>
      <c r="I138" s="14" t="s">
        <v>124</v>
      </c>
      <c r="J138" s="14" t="s">
        <v>964</v>
      </c>
      <c r="K138" s="14"/>
      <c r="L138" s="14" t="s">
        <v>6</v>
      </c>
      <c r="M138" s="14" t="s">
        <v>152</v>
      </c>
      <c r="N138" s="14" t="s">
        <v>965</v>
      </c>
      <c r="O138" s="14" t="s">
        <v>486</v>
      </c>
      <c r="P138" s="14" t="s">
        <v>966</v>
      </c>
      <c r="Q138" s="14" t="s">
        <v>129</v>
      </c>
      <c r="R138" s="14" t="s">
        <v>181</v>
      </c>
      <c r="S138" s="28">
        <v>3012105965</v>
      </c>
      <c r="T138" s="35" t="s">
        <v>967</v>
      </c>
      <c r="U138" s="38" t="s">
        <v>968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133</v>
      </c>
      <c r="AD138" t="s">
        <v>59</v>
      </c>
      <c r="AE138">
        <v>4</v>
      </c>
      <c r="AM138"/>
      <c r="AN138" s="29"/>
    </row>
    <row r="139" spans="1:40" ht="29.1">
      <c r="A139" s="14">
        <v>3713321</v>
      </c>
      <c r="B139" s="14" t="s">
        <v>62</v>
      </c>
      <c r="C139" s="14" t="s">
        <v>175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123</v>
      </c>
      <c r="I139" s="14" t="s">
        <v>124</v>
      </c>
      <c r="J139" s="14" t="s">
        <v>969</v>
      </c>
      <c r="K139" s="14"/>
      <c r="L139" s="14" t="s">
        <v>4</v>
      </c>
      <c r="M139" s="14" t="s">
        <v>138</v>
      </c>
      <c r="N139" s="14" t="s">
        <v>970</v>
      </c>
      <c r="O139" s="14" t="s">
        <v>460</v>
      </c>
      <c r="P139" s="14" t="s">
        <v>971</v>
      </c>
      <c r="Q139" s="14" t="s">
        <v>129</v>
      </c>
      <c r="R139" s="14" t="s">
        <v>130</v>
      </c>
      <c r="S139" s="28" t="s">
        <v>972</v>
      </c>
      <c r="T139" s="35">
        <v>3223059423</v>
      </c>
      <c r="U139" s="38" t="s">
        <v>973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133</v>
      </c>
      <c r="AD139" t="s">
        <v>58</v>
      </c>
      <c r="AE139">
        <v>4</v>
      </c>
      <c r="AF139" t="s">
        <v>29</v>
      </c>
      <c r="AM139"/>
      <c r="AN139" s="29"/>
    </row>
    <row r="140" spans="1:40" ht="29.1">
      <c r="A140" s="14">
        <v>3713323</v>
      </c>
      <c r="B140" s="14" t="s">
        <v>68</v>
      </c>
      <c r="C140" s="14" t="s">
        <v>528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123</v>
      </c>
      <c r="I140" s="14" t="s">
        <v>124</v>
      </c>
      <c r="J140" s="14" t="s">
        <v>974</v>
      </c>
      <c r="K140" s="14"/>
      <c r="L140" s="14" t="s">
        <v>4</v>
      </c>
      <c r="M140" s="14" t="s">
        <v>138</v>
      </c>
      <c r="N140" s="14" t="s">
        <v>975</v>
      </c>
      <c r="O140" s="14" t="s">
        <v>460</v>
      </c>
      <c r="P140" s="14" t="s">
        <v>976</v>
      </c>
      <c r="Q140" s="14" t="s">
        <v>129</v>
      </c>
      <c r="R140" s="14" t="s">
        <v>977</v>
      </c>
      <c r="S140" s="28" t="s">
        <v>978</v>
      </c>
      <c r="T140" s="35" t="s">
        <v>283</v>
      </c>
      <c r="U140" s="38" t="s">
        <v>979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133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customHeight="1">
      <c r="A141" s="14">
        <v>3713388</v>
      </c>
      <c r="B141" s="14" t="s">
        <v>68</v>
      </c>
      <c r="C141" s="14" t="s">
        <v>528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123</v>
      </c>
      <c r="I141" s="14" t="s">
        <v>124</v>
      </c>
      <c r="J141" s="14" t="s">
        <v>980</v>
      </c>
      <c r="K141" s="14"/>
      <c r="L141" s="14" t="s">
        <v>4</v>
      </c>
      <c r="M141" s="14" t="s">
        <v>138</v>
      </c>
      <c r="N141" s="14" t="s">
        <v>981</v>
      </c>
      <c r="O141" s="14" t="s">
        <v>460</v>
      </c>
      <c r="P141" s="14" t="s">
        <v>982</v>
      </c>
      <c r="Q141" s="14" t="s">
        <v>212</v>
      </c>
      <c r="R141" s="14" t="s">
        <v>213</v>
      </c>
      <c r="S141" s="28" t="s">
        <v>983</v>
      </c>
      <c r="T141" s="35" t="s">
        <v>283</v>
      </c>
      <c r="U141" s="38" t="s">
        <v>984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243</v>
      </c>
      <c r="AC141" t="s">
        <v>985</v>
      </c>
      <c r="AD141" t="s">
        <v>58</v>
      </c>
      <c r="AE141">
        <v>4</v>
      </c>
      <c r="AM141"/>
      <c r="AN141" s="29"/>
    </row>
    <row r="142" spans="1:40" ht="29.1">
      <c r="A142" s="14">
        <v>3713413</v>
      </c>
      <c r="B142" s="14" t="s">
        <v>78</v>
      </c>
      <c r="C142" s="14" t="s">
        <v>600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123</v>
      </c>
      <c r="I142" s="14" t="s">
        <v>124</v>
      </c>
      <c r="J142" s="14" t="s">
        <v>986</v>
      </c>
      <c r="K142" s="14"/>
      <c r="L142" s="14" t="s">
        <v>4</v>
      </c>
      <c r="M142" s="14" t="s">
        <v>138</v>
      </c>
      <c r="N142" s="14" t="s">
        <v>987</v>
      </c>
      <c r="O142" s="14" t="s">
        <v>460</v>
      </c>
      <c r="P142" s="14" t="s">
        <v>988</v>
      </c>
      <c r="Q142" s="14" t="s">
        <v>212</v>
      </c>
      <c r="R142" s="14" t="s">
        <v>213</v>
      </c>
      <c r="S142" s="28" t="s">
        <v>989</v>
      </c>
      <c r="T142" s="35" t="s">
        <v>990</v>
      </c>
      <c r="U142" s="38" t="s">
        <v>991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133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>
      <c r="A143" s="14">
        <v>3713467</v>
      </c>
      <c r="B143" s="14" t="s">
        <v>73</v>
      </c>
      <c r="C143" s="14" t="s">
        <v>570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123</v>
      </c>
      <c r="I143" s="14" t="s">
        <v>124</v>
      </c>
      <c r="J143" s="14" t="s">
        <v>992</v>
      </c>
      <c r="K143" s="14"/>
      <c r="L143" s="14" t="s">
        <v>6</v>
      </c>
      <c r="M143" s="14" t="s">
        <v>574</v>
      </c>
      <c r="N143" s="14" t="s">
        <v>993</v>
      </c>
      <c r="O143" s="14" t="s">
        <v>486</v>
      </c>
      <c r="P143" s="14" t="s">
        <v>994</v>
      </c>
      <c r="Q143" s="14" t="s">
        <v>593</v>
      </c>
      <c r="R143" s="14" t="s">
        <v>130</v>
      </c>
      <c r="S143" s="28">
        <v>3136361050</v>
      </c>
      <c r="T143" s="35" t="s">
        <v>447</v>
      </c>
      <c r="U143" s="38" t="s">
        <v>995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133</v>
      </c>
      <c r="AD143" t="s">
        <v>59</v>
      </c>
      <c r="AE143">
        <v>4</v>
      </c>
      <c r="AG143" t="s">
        <v>28</v>
      </c>
      <c r="AM143"/>
      <c r="AN143" s="29"/>
    </row>
    <row r="144" spans="1:40" ht="29.1">
      <c r="A144" s="14">
        <v>3713469</v>
      </c>
      <c r="B144" s="14" t="s">
        <v>73</v>
      </c>
      <c r="C144" s="14" t="s">
        <v>570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123</v>
      </c>
      <c r="I144" s="14" t="s">
        <v>124</v>
      </c>
      <c r="J144" s="14" t="s">
        <v>996</v>
      </c>
      <c r="K144" s="14"/>
      <c r="L144" s="14" t="s">
        <v>6</v>
      </c>
      <c r="M144" s="14" t="s">
        <v>574</v>
      </c>
      <c r="N144" s="14" t="s">
        <v>997</v>
      </c>
      <c r="O144" s="14" t="s">
        <v>486</v>
      </c>
      <c r="P144" s="14" t="s">
        <v>998</v>
      </c>
      <c r="Q144" s="14" t="s">
        <v>593</v>
      </c>
      <c r="R144" s="14" t="s">
        <v>522</v>
      </c>
      <c r="S144" s="28">
        <v>6043547700</v>
      </c>
      <c r="T144" s="35" t="s">
        <v>447</v>
      </c>
      <c r="U144" s="38" t="s">
        <v>999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133</v>
      </c>
      <c r="AD144" t="s">
        <v>57</v>
      </c>
      <c r="AE144">
        <v>4</v>
      </c>
      <c r="AM144"/>
      <c r="AN144" s="29"/>
    </row>
    <row r="145" spans="1:40" ht="72.599999999999994">
      <c r="A145" s="14">
        <v>3717128</v>
      </c>
      <c r="B145" s="14" t="s">
        <v>67</v>
      </c>
      <c r="C145" s="14" t="s">
        <v>420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124</v>
      </c>
      <c r="J145" s="14" t="s">
        <v>1000</v>
      </c>
      <c r="K145" s="14"/>
      <c r="L145" s="14" t="s">
        <v>4</v>
      </c>
      <c r="M145" s="14" t="s">
        <v>138</v>
      </c>
      <c r="N145" s="14" t="s">
        <v>1001</v>
      </c>
      <c r="O145" s="14" t="s">
        <v>506</v>
      </c>
      <c r="P145" s="17" t="s">
        <v>1002</v>
      </c>
      <c r="Q145" s="14" t="s">
        <v>129</v>
      </c>
      <c r="R145" s="14" t="s">
        <v>902</v>
      </c>
      <c r="S145" s="28">
        <v>3185865206</v>
      </c>
      <c r="T145" s="35" t="s">
        <v>631</v>
      </c>
      <c r="U145" s="38" t="s">
        <v>1003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133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L145" t="s">
        <v>58</v>
      </c>
      <c r="AM145" t="s">
        <v>1004</v>
      </c>
      <c r="AN145" s="29" t="s">
        <v>1005</v>
      </c>
    </row>
    <row r="146" spans="1:40" ht="29.1">
      <c r="A146" s="14">
        <v>3717133</v>
      </c>
      <c r="B146" s="14" t="s">
        <v>67</v>
      </c>
      <c r="C146" s="14" t="s">
        <v>420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124</v>
      </c>
      <c r="J146" s="14" t="s">
        <v>1006</v>
      </c>
      <c r="K146" s="14"/>
      <c r="L146" s="14" t="s">
        <v>4</v>
      </c>
      <c r="M146" s="14" t="s">
        <v>138</v>
      </c>
      <c r="N146" s="14" t="s">
        <v>1007</v>
      </c>
      <c r="O146" s="14" t="s">
        <v>506</v>
      </c>
      <c r="P146" s="14" t="s">
        <v>1008</v>
      </c>
      <c r="Q146" s="14" t="s">
        <v>129</v>
      </c>
      <c r="R146" s="14" t="s">
        <v>130</v>
      </c>
      <c r="S146" s="28" t="s">
        <v>1009</v>
      </c>
      <c r="T146" s="35" t="s">
        <v>631</v>
      </c>
      <c r="U146" s="38" t="s">
        <v>1010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133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228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124</v>
      </c>
      <c r="J147" s="14" t="s">
        <v>1011</v>
      </c>
      <c r="K147" s="14" t="s">
        <v>1012</v>
      </c>
      <c r="L147" s="14" t="s">
        <v>4</v>
      </c>
      <c r="M147" s="14" t="s">
        <v>851</v>
      </c>
      <c r="N147" s="14" t="s">
        <v>1013</v>
      </c>
      <c r="O147" s="14" t="s">
        <v>506</v>
      </c>
      <c r="P147" s="14" t="s">
        <v>1014</v>
      </c>
      <c r="Q147" s="14" t="s">
        <v>129</v>
      </c>
      <c r="R147" s="14" t="s">
        <v>130</v>
      </c>
      <c r="S147" s="28" t="s">
        <v>1015</v>
      </c>
      <c r="T147" s="35" t="s">
        <v>1015</v>
      </c>
      <c r="U147" s="38" t="s">
        <v>1016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133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167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124</v>
      </c>
      <c r="J148" s="14" t="s">
        <v>1017</v>
      </c>
      <c r="K148" s="14"/>
      <c r="L148" s="14" t="s">
        <v>6</v>
      </c>
      <c r="M148" s="14" t="s">
        <v>152</v>
      </c>
      <c r="N148" s="14" t="s">
        <v>1018</v>
      </c>
      <c r="O148" s="14" t="s">
        <v>486</v>
      </c>
      <c r="P148" s="17" t="s">
        <v>1019</v>
      </c>
      <c r="Q148" s="14" t="s">
        <v>129</v>
      </c>
      <c r="R148" s="14" t="s">
        <v>130</v>
      </c>
      <c r="S148" s="28">
        <v>3162403226</v>
      </c>
      <c r="T148" s="35" t="s">
        <v>1020</v>
      </c>
      <c r="U148" s="44" t="s">
        <v>1021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133</v>
      </c>
      <c r="AD148" t="s">
        <v>59</v>
      </c>
      <c r="AE148">
        <v>5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404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124</v>
      </c>
      <c r="J149" s="14" t="s">
        <v>1022</v>
      </c>
      <c r="K149" s="14"/>
      <c r="L149" s="14" t="s">
        <v>5</v>
      </c>
      <c r="M149" s="14" t="s">
        <v>126</v>
      </c>
      <c r="N149" s="14" t="s">
        <v>1023</v>
      </c>
      <c r="O149" s="14" t="s">
        <v>553</v>
      </c>
      <c r="P149" s="14" t="s">
        <v>1024</v>
      </c>
      <c r="Q149" s="14" t="s">
        <v>212</v>
      </c>
      <c r="R149" s="14" t="s">
        <v>213</v>
      </c>
      <c r="S149" s="28">
        <v>3167435645</v>
      </c>
      <c r="T149" s="35" t="s">
        <v>283</v>
      </c>
      <c r="U149" s="38" t="s">
        <v>1025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133</v>
      </c>
      <c r="AD149" t="s">
        <v>59</v>
      </c>
      <c r="AE149">
        <v>5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120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124</v>
      </c>
      <c r="J150" s="14" t="s">
        <v>1026</v>
      </c>
      <c r="K150" s="14"/>
      <c r="L150" s="14" t="s">
        <v>5</v>
      </c>
      <c r="M150" s="14" t="s">
        <v>126</v>
      </c>
      <c r="N150" s="14" t="s">
        <v>1027</v>
      </c>
      <c r="O150" s="14" t="s">
        <v>553</v>
      </c>
      <c r="P150" s="17" t="s">
        <v>1028</v>
      </c>
      <c r="Q150" s="14" t="s">
        <v>212</v>
      </c>
      <c r="R150" s="14" t="s">
        <v>213</v>
      </c>
      <c r="S150" s="28" t="s">
        <v>1029</v>
      </c>
      <c r="T150" s="35" t="s">
        <v>1030</v>
      </c>
      <c r="U150" s="38" t="s">
        <v>1031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133</v>
      </c>
      <c r="AD150" t="s">
        <v>59</v>
      </c>
      <c r="AE150">
        <v>5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834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124</v>
      </c>
      <c r="J151" s="14" t="s">
        <v>1032</v>
      </c>
      <c r="K151" s="14"/>
      <c r="L151" s="14" t="s">
        <v>6</v>
      </c>
      <c r="M151" s="14" t="s">
        <v>152</v>
      </c>
      <c r="N151" s="14" t="s">
        <v>1033</v>
      </c>
      <c r="O151" s="14" t="s">
        <v>486</v>
      </c>
      <c r="P151" s="14" t="s">
        <v>1034</v>
      </c>
      <c r="Q151" s="14" t="s">
        <v>593</v>
      </c>
      <c r="R151" s="14" t="s">
        <v>902</v>
      </c>
      <c r="S151" s="28" t="s">
        <v>1035</v>
      </c>
      <c r="T151" s="35">
        <v>3148881602</v>
      </c>
      <c r="U151" s="38" t="s">
        <v>1036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133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834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124</v>
      </c>
      <c r="J152" s="14" t="s">
        <v>1037</v>
      </c>
      <c r="K152" s="14"/>
      <c r="L152" s="14" t="s">
        <v>6</v>
      </c>
      <c r="M152" s="14" t="s">
        <v>152</v>
      </c>
      <c r="N152" s="14" t="s">
        <v>1038</v>
      </c>
      <c r="O152" s="14" t="s">
        <v>486</v>
      </c>
      <c r="P152" s="17" t="s">
        <v>1039</v>
      </c>
      <c r="Q152" s="14" t="s">
        <v>593</v>
      </c>
      <c r="R152" s="14" t="s">
        <v>902</v>
      </c>
      <c r="S152" s="28" t="s">
        <v>1040</v>
      </c>
      <c r="T152" s="35" t="s">
        <v>1041</v>
      </c>
      <c r="U152" s="38" t="s">
        <v>1042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133</v>
      </c>
      <c r="AD152" t="s">
        <v>59</v>
      </c>
      <c r="AE152">
        <v>5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175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124</v>
      </c>
      <c r="J153" s="14" t="s">
        <v>1043</v>
      </c>
      <c r="K153" s="14"/>
      <c r="L153" s="14" t="s">
        <v>4</v>
      </c>
      <c r="M153" s="14" t="s">
        <v>178</v>
      </c>
      <c r="N153" s="14" t="s">
        <v>1044</v>
      </c>
      <c r="O153" s="14" t="s">
        <v>460</v>
      </c>
      <c r="P153" s="17" t="s">
        <v>1045</v>
      </c>
      <c r="Q153" s="14" t="s">
        <v>593</v>
      </c>
      <c r="R153" s="14" t="s">
        <v>130</v>
      </c>
      <c r="S153" s="28">
        <v>3108711116</v>
      </c>
      <c r="T153" s="35">
        <v>3112239867</v>
      </c>
      <c r="U153" s="38" t="s">
        <v>1046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133</v>
      </c>
      <c r="AD153" t="s">
        <v>59</v>
      </c>
      <c r="AE153">
        <v>5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175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124</v>
      </c>
      <c r="J154" s="14" t="s">
        <v>1047</v>
      </c>
      <c r="K154" s="14"/>
      <c r="L154" s="14" t="s">
        <v>4</v>
      </c>
      <c r="M154" s="14" t="s">
        <v>178</v>
      </c>
      <c r="N154" s="14" t="s">
        <v>1048</v>
      </c>
      <c r="O154" s="14" t="s">
        <v>460</v>
      </c>
      <c r="P154" s="14" t="s">
        <v>1049</v>
      </c>
      <c r="Q154" s="14" t="s">
        <v>593</v>
      </c>
      <c r="R154" s="14" t="s">
        <v>181</v>
      </c>
      <c r="S154" s="28" t="s">
        <v>1050</v>
      </c>
      <c r="T154" s="35">
        <v>3108626217</v>
      </c>
      <c r="U154" s="38" t="s">
        <v>1051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133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590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124</v>
      </c>
      <c r="J155" s="14" t="s">
        <v>1052</v>
      </c>
      <c r="K155" s="14"/>
      <c r="L155" s="14" t="s">
        <v>4</v>
      </c>
      <c r="M155" s="14" t="s">
        <v>178</v>
      </c>
      <c r="N155" s="14" t="s">
        <v>1053</v>
      </c>
      <c r="O155" s="14" t="s">
        <v>460</v>
      </c>
      <c r="P155" s="14" t="s">
        <v>1054</v>
      </c>
      <c r="Q155" s="14" t="s">
        <v>129</v>
      </c>
      <c r="R155" s="14" t="s">
        <v>213</v>
      </c>
      <c r="S155" s="28">
        <v>3175736861</v>
      </c>
      <c r="T155" s="14" t="s">
        <v>1055</v>
      </c>
      <c r="U155" s="38" t="s">
        <v>1056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133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81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124</v>
      </c>
      <c r="J156" s="14" t="s">
        <v>1057</v>
      </c>
      <c r="K156" s="14"/>
      <c r="L156" s="14" t="s">
        <v>4</v>
      </c>
      <c r="M156" s="14" t="s">
        <v>138</v>
      </c>
      <c r="N156" s="14" t="s">
        <v>1058</v>
      </c>
      <c r="O156" s="14" t="s">
        <v>506</v>
      </c>
      <c r="P156" s="14" t="s">
        <v>1059</v>
      </c>
      <c r="Q156" s="14" t="s">
        <v>129</v>
      </c>
      <c r="R156" s="14" t="s">
        <v>130</v>
      </c>
      <c r="S156" s="28">
        <v>3142406629</v>
      </c>
      <c r="T156" s="14" t="s">
        <v>191</v>
      </c>
      <c r="U156" s="38" t="s">
        <v>1060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243</v>
      </c>
      <c r="AC156" t="s">
        <v>1061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124</v>
      </c>
      <c r="J157" s="14" t="s">
        <v>1062</v>
      </c>
      <c r="K157" s="14"/>
      <c r="L157" s="14" t="s">
        <v>4</v>
      </c>
      <c r="M157" s="14" t="s">
        <v>138</v>
      </c>
      <c r="N157" s="14" t="s">
        <v>1063</v>
      </c>
      <c r="O157" s="14" t="s">
        <v>460</v>
      </c>
      <c r="P157" s="14" t="s">
        <v>1064</v>
      </c>
      <c r="Q157" s="14" t="s">
        <v>212</v>
      </c>
      <c r="R157" s="14" t="s">
        <v>213</v>
      </c>
      <c r="S157" s="28">
        <v>3115156846</v>
      </c>
      <c r="T157" s="14" t="s">
        <v>1065</v>
      </c>
      <c r="U157" s="38" t="s">
        <v>1066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133</v>
      </c>
      <c r="AG157" t="s">
        <v>31</v>
      </c>
      <c r="AH157" t="s">
        <v>40</v>
      </c>
      <c r="AI157" s="23">
        <v>46240</v>
      </c>
      <c r="AL157" t="s">
        <v>58</v>
      </c>
      <c r="AM157" s="29" t="s">
        <v>1067</v>
      </c>
      <c r="AN157" t="s">
        <v>1068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124</v>
      </c>
      <c r="J158" s="14" t="s">
        <v>1069</v>
      </c>
      <c r="K158" s="14" t="s">
        <v>1070</v>
      </c>
      <c r="L158" s="14" t="s">
        <v>4</v>
      </c>
      <c r="M158" s="14" t="s">
        <v>178</v>
      </c>
      <c r="N158" s="14" t="s">
        <v>1071</v>
      </c>
      <c r="O158" s="14" t="s">
        <v>460</v>
      </c>
      <c r="P158" s="14" t="s">
        <v>1072</v>
      </c>
      <c r="Q158" s="14" t="s">
        <v>129</v>
      </c>
      <c r="R158" s="14" t="s">
        <v>130</v>
      </c>
      <c r="S158" s="28">
        <v>3144544008</v>
      </c>
      <c r="T158" s="28" t="s">
        <v>726</v>
      </c>
      <c r="U158" s="38" t="s">
        <v>1073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133</v>
      </c>
      <c r="AD158" t="s">
        <v>57</v>
      </c>
      <c r="AG158" t="s">
        <v>1074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257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124</v>
      </c>
      <c r="J159" s="14" t="s">
        <v>1075</v>
      </c>
      <c r="K159" s="14"/>
      <c r="L159" s="14" t="s">
        <v>4</v>
      </c>
      <c r="M159" s="14" t="s">
        <v>138</v>
      </c>
      <c r="N159" s="14" t="s">
        <v>1076</v>
      </c>
      <c r="O159" s="14" t="s">
        <v>506</v>
      </c>
      <c r="P159" s="17" t="s">
        <v>1077</v>
      </c>
      <c r="Q159" s="14" t="s">
        <v>155</v>
      </c>
      <c r="R159" s="14" t="s">
        <v>213</v>
      </c>
      <c r="S159" s="28">
        <v>3118833395</v>
      </c>
      <c r="T159" s="14" t="s">
        <v>500</v>
      </c>
      <c r="U159" s="38" t="s">
        <v>1078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133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434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124</v>
      </c>
      <c r="J160" s="14" t="s">
        <v>1079</v>
      </c>
      <c r="K160" s="14"/>
      <c r="L160" s="14" t="s">
        <v>5</v>
      </c>
      <c r="M160" s="14" t="s">
        <v>126</v>
      </c>
      <c r="N160" s="14" t="s">
        <v>1080</v>
      </c>
      <c r="O160" s="14" t="s">
        <v>553</v>
      </c>
      <c r="P160" s="17" t="s">
        <v>1081</v>
      </c>
      <c r="Q160" s="14" t="s">
        <v>155</v>
      </c>
      <c r="R160" s="14" t="s">
        <v>130</v>
      </c>
      <c r="S160" s="28" t="s">
        <v>1082</v>
      </c>
      <c r="T160" s="28">
        <v>3185159468</v>
      </c>
      <c r="U160" s="38" t="s">
        <v>1083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133</v>
      </c>
    </row>
    <row r="161" spans="1:26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124</v>
      </c>
      <c r="J161" s="14" t="s">
        <v>922</v>
      </c>
      <c r="K161" s="14" t="s">
        <v>1084</v>
      </c>
      <c r="L161" s="14" t="s">
        <v>4</v>
      </c>
      <c r="M161" s="14" t="s">
        <v>178</v>
      </c>
      <c r="N161" s="14" t="s">
        <v>1085</v>
      </c>
      <c r="O161" s="14" t="s">
        <v>460</v>
      </c>
      <c r="P161" s="41" t="s">
        <v>1086</v>
      </c>
      <c r="Q161" s="14" t="s">
        <v>129</v>
      </c>
      <c r="R161" s="14" t="s">
        <v>130</v>
      </c>
      <c r="S161" s="28">
        <v>3144070708</v>
      </c>
      <c r="T161" s="28" t="s">
        <v>726</v>
      </c>
      <c r="U161" s="38" t="s">
        <v>1087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133</v>
      </c>
    </row>
    <row r="162" spans="1:26" ht="29.1">
      <c r="A162" s="14">
        <v>3728857</v>
      </c>
      <c r="B162" s="14" t="s">
        <v>82</v>
      </c>
      <c r="C162" s="14" t="s">
        <v>590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124</v>
      </c>
      <c r="J162" s="14" t="s">
        <v>1088</v>
      </c>
      <c r="K162" s="14"/>
      <c r="L162" s="14" t="s">
        <v>4</v>
      </c>
      <c r="M162" s="14" t="s">
        <v>178</v>
      </c>
      <c r="N162" s="14" t="s">
        <v>1089</v>
      </c>
      <c r="O162" s="14" t="s">
        <v>460</v>
      </c>
      <c r="P162" s="42" t="s">
        <v>1090</v>
      </c>
      <c r="Q162" s="14" t="s">
        <v>129</v>
      </c>
      <c r="R162" s="14" t="s">
        <v>130</v>
      </c>
      <c r="S162" s="28">
        <v>3212005248</v>
      </c>
      <c r="T162" s="14" t="s">
        <v>500</v>
      </c>
      <c r="U162" s="38" t="s">
        <v>1091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133</v>
      </c>
    </row>
    <row r="163" spans="1:26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124</v>
      </c>
      <c r="J163" s="14" t="s">
        <v>1092</v>
      </c>
      <c r="K163" s="14"/>
      <c r="L163" s="14" t="s">
        <v>4</v>
      </c>
      <c r="M163" s="14" t="s">
        <v>138</v>
      </c>
      <c r="N163" s="14" t="s">
        <v>1093</v>
      </c>
      <c r="O163" s="14" t="s">
        <v>460</v>
      </c>
      <c r="P163" s="40" t="s">
        <v>1094</v>
      </c>
      <c r="Q163" s="14" t="s">
        <v>129</v>
      </c>
      <c r="R163" s="14" t="s">
        <v>522</v>
      </c>
      <c r="S163" s="14" t="s">
        <v>1095</v>
      </c>
      <c r="T163" s="28">
        <v>3164665723</v>
      </c>
      <c r="U163" s="38" t="s">
        <v>1096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133</v>
      </c>
    </row>
    <row r="164" spans="1:26" ht="29.1">
      <c r="A164" s="14">
        <v>3732263</v>
      </c>
      <c r="B164" s="14" t="s">
        <v>68</v>
      </c>
      <c r="C164" s="14" t="s">
        <v>528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124</v>
      </c>
      <c r="J164" s="14" t="s">
        <v>1097</v>
      </c>
      <c r="K164" s="14"/>
      <c r="L164" s="14" t="s">
        <v>4</v>
      </c>
      <c r="M164" s="14" t="s">
        <v>138</v>
      </c>
      <c r="N164" s="14" t="s">
        <v>1098</v>
      </c>
      <c r="O164" s="14" t="s">
        <v>460</v>
      </c>
      <c r="P164" s="40" t="s">
        <v>1099</v>
      </c>
      <c r="Q164" s="14" t="s">
        <v>212</v>
      </c>
      <c r="R164" s="14" t="s">
        <v>213</v>
      </c>
      <c r="S164" s="28">
        <v>3202713662</v>
      </c>
      <c r="T164" s="28" t="s">
        <v>283</v>
      </c>
      <c r="U164" s="38" t="s">
        <v>1100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133</v>
      </c>
    </row>
    <row r="165" spans="1:26" ht="29.1">
      <c r="A165" s="14">
        <v>3732378</v>
      </c>
      <c r="B165" s="14" t="s">
        <v>64</v>
      </c>
      <c r="C165" s="14" t="s">
        <v>645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124</v>
      </c>
      <c r="J165" s="14" t="s">
        <v>1101</v>
      </c>
      <c r="K165" s="14"/>
      <c r="L165" s="14" t="s">
        <v>4</v>
      </c>
      <c r="M165" s="14" t="s">
        <v>138</v>
      </c>
      <c r="N165" s="14" t="s">
        <v>1102</v>
      </c>
      <c r="O165" s="14" t="s">
        <v>506</v>
      </c>
      <c r="P165" s="40" t="s">
        <v>1103</v>
      </c>
      <c r="Q165" s="14" t="s">
        <v>155</v>
      </c>
      <c r="R165" s="14" t="s">
        <v>467</v>
      </c>
      <c r="S165" s="28" t="s">
        <v>1104</v>
      </c>
      <c r="T165" s="28">
        <v>3138747117</v>
      </c>
      <c r="U165" s="38" t="s">
        <v>1105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133</v>
      </c>
    </row>
    <row r="166" spans="1:26" ht="29.1">
      <c r="A166" s="14">
        <v>3732413</v>
      </c>
      <c r="B166" s="14" t="s">
        <v>64</v>
      </c>
      <c r="C166" s="14" t="s">
        <v>645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124</v>
      </c>
      <c r="J166" s="14" t="s">
        <v>1106</v>
      </c>
      <c r="K166" s="14"/>
      <c r="L166" s="14" t="s">
        <v>4</v>
      </c>
      <c r="M166" s="14" t="s">
        <v>138</v>
      </c>
      <c r="N166" s="14" t="s">
        <v>1107</v>
      </c>
      <c r="O166" s="14" t="s">
        <v>506</v>
      </c>
      <c r="P166" s="40" t="s">
        <v>1108</v>
      </c>
      <c r="Q166" s="14" t="s">
        <v>129</v>
      </c>
      <c r="R166" s="14" t="s">
        <v>130</v>
      </c>
      <c r="S166" s="28">
        <v>3212608047</v>
      </c>
      <c r="T166" s="35" t="s">
        <v>440</v>
      </c>
      <c r="U166" s="38" t="s">
        <v>1109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133</v>
      </c>
    </row>
    <row r="167" spans="1:26" ht="29.1">
      <c r="A167" s="14">
        <v>3732448</v>
      </c>
      <c r="B167" s="14" t="s">
        <v>68</v>
      </c>
      <c r="C167" s="14" t="s">
        <v>528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124</v>
      </c>
      <c r="J167" s="14" t="s">
        <v>1110</v>
      </c>
      <c r="K167" s="14" t="s">
        <v>1111</v>
      </c>
      <c r="L167" s="14" t="s">
        <v>4</v>
      </c>
      <c r="M167" s="14" t="s">
        <v>138</v>
      </c>
      <c r="N167" s="14" t="s">
        <v>1112</v>
      </c>
      <c r="O167" s="14" t="s">
        <v>460</v>
      </c>
      <c r="P167" s="40" t="s">
        <v>1113</v>
      </c>
      <c r="Q167" s="14" t="s">
        <v>212</v>
      </c>
      <c r="R167" s="14" t="s">
        <v>213</v>
      </c>
      <c r="S167" s="28">
        <v>3108086186</v>
      </c>
      <c r="T167" s="35" t="s">
        <v>1114</v>
      </c>
      <c r="U167" s="38" t="s">
        <v>1115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133</v>
      </c>
    </row>
    <row r="168" spans="1:26" ht="29.1">
      <c r="A168" s="14">
        <v>3732430</v>
      </c>
      <c r="B168" s="14" t="s">
        <v>64</v>
      </c>
      <c r="C168" s="14" t="s">
        <v>645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124</v>
      </c>
      <c r="J168" s="14" t="s">
        <v>1116</v>
      </c>
      <c r="K168" s="14"/>
      <c r="L168" s="14" t="s">
        <v>4</v>
      </c>
      <c r="M168" s="14" t="s">
        <v>138</v>
      </c>
      <c r="N168" s="14" t="s">
        <v>1117</v>
      </c>
      <c r="O168" s="14" t="s">
        <v>506</v>
      </c>
      <c r="P168" s="40" t="s">
        <v>1118</v>
      </c>
      <c r="Q168" s="14" t="s">
        <v>129</v>
      </c>
      <c r="R168" s="14" t="s">
        <v>213</v>
      </c>
      <c r="S168" s="28">
        <v>3212608047</v>
      </c>
      <c r="T168" s="28" t="s">
        <v>1119</v>
      </c>
      <c r="U168" s="38" t="s">
        <v>1120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133</v>
      </c>
    </row>
    <row r="169" spans="1:26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124</v>
      </c>
      <c r="J169" s="14" t="s">
        <v>1121</v>
      </c>
      <c r="K169" s="14"/>
      <c r="L169" s="14" t="s">
        <v>5</v>
      </c>
      <c r="M169" s="14" t="s">
        <v>138</v>
      </c>
      <c r="N169" s="14" t="s">
        <v>1122</v>
      </c>
      <c r="O169" s="14" t="s">
        <v>460</v>
      </c>
      <c r="P169" s="40" t="s">
        <v>1123</v>
      </c>
      <c r="Q169" s="14" t="s">
        <v>129</v>
      </c>
      <c r="R169" s="14" t="s">
        <v>213</v>
      </c>
      <c r="S169" s="28">
        <v>3213793476</v>
      </c>
      <c r="T169" s="28" t="s">
        <v>1124</v>
      </c>
      <c r="U169" s="38" t="s">
        <v>1125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133</v>
      </c>
    </row>
    <row r="170" spans="1:26" ht="29.1">
      <c r="A170" s="14">
        <v>3732506</v>
      </c>
      <c r="B170" s="14" t="s">
        <v>64</v>
      </c>
      <c r="C170" s="14" t="s">
        <v>645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124</v>
      </c>
      <c r="J170" s="14" t="s">
        <v>1126</v>
      </c>
      <c r="K170" s="14"/>
      <c r="L170" s="14" t="s">
        <v>4</v>
      </c>
      <c r="M170" s="14" t="s">
        <v>138</v>
      </c>
      <c r="N170" s="14" t="s">
        <v>1127</v>
      </c>
      <c r="O170" s="14" t="s">
        <v>506</v>
      </c>
      <c r="P170" s="17" t="s">
        <v>1128</v>
      </c>
      <c r="Q170" s="14" t="s">
        <v>129</v>
      </c>
      <c r="R170" s="14" t="s">
        <v>130</v>
      </c>
      <c r="S170" s="28">
        <v>3175136361</v>
      </c>
      <c r="T170" s="28" t="s">
        <v>1129</v>
      </c>
      <c r="U170" s="38" t="s">
        <v>1130</v>
      </c>
      <c r="V170">
        <f t="shared" ref="V170:V174" si="33">WEEKNUM(E170)</f>
        <v>32</v>
      </c>
      <c r="W170">
        <f t="shared" ref="W170:W174" si="34">MONTH(E170)</f>
        <v>8</v>
      </c>
      <c r="X170">
        <f t="shared" ref="X170:X174" si="35">YEAR(E170)</f>
        <v>2026</v>
      </c>
      <c r="Y170" t="str">
        <f t="shared" ref="Y170:Y174" si="36">_xlfn.CONCAT(V170,"-",X170)</f>
        <v>32-2026</v>
      </c>
      <c r="Z170" t="s">
        <v>133</v>
      </c>
    </row>
    <row r="171" spans="1:26" ht="29.1">
      <c r="A171" s="14">
        <v>3732657</v>
      </c>
      <c r="B171" s="14" t="s">
        <v>64</v>
      </c>
      <c r="C171" s="14" t="s">
        <v>645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124</v>
      </c>
      <c r="J171" s="14" t="s">
        <v>1131</v>
      </c>
      <c r="K171" s="14"/>
      <c r="L171" s="14" t="s">
        <v>4</v>
      </c>
      <c r="M171" s="14" t="s">
        <v>138</v>
      </c>
      <c r="N171" s="14" t="s">
        <v>1132</v>
      </c>
      <c r="O171" s="14" t="s">
        <v>506</v>
      </c>
      <c r="P171" s="17" t="s">
        <v>1133</v>
      </c>
      <c r="Q171" s="14" t="s">
        <v>212</v>
      </c>
      <c r="R171" s="14" t="s">
        <v>213</v>
      </c>
      <c r="S171" s="28" t="s">
        <v>1134</v>
      </c>
      <c r="T171" s="28">
        <v>321330000</v>
      </c>
      <c r="U171" s="38" t="s">
        <v>1135</v>
      </c>
      <c r="V171">
        <f t="shared" si="33"/>
        <v>32</v>
      </c>
      <c r="W171">
        <f t="shared" si="34"/>
        <v>8</v>
      </c>
      <c r="X171">
        <f t="shared" si="35"/>
        <v>2026</v>
      </c>
      <c r="Y171" t="str">
        <f t="shared" si="36"/>
        <v>32-2026</v>
      </c>
      <c r="Z171" t="s">
        <v>133</v>
      </c>
    </row>
    <row r="172" spans="1:26" ht="29.1">
      <c r="A172" s="14">
        <v>3732669</v>
      </c>
      <c r="B172" s="14" t="s">
        <v>64</v>
      </c>
      <c r="C172" s="14" t="s">
        <v>645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124</v>
      </c>
      <c r="J172" s="14" t="s">
        <v>1136</v>
      </c>
      <c r="K172" s="14"/>
      <c r="L172" s="14" t="s">
        <v>4</v>
      </c>
      <c r="M172" s="14" t="s">
        <v>138</v>
      </c>
      <c r="N172" s="14" t="s">
        <v>1137</v>
      </c>
      <c r="O172" s="14" t="s">
        <v>506</v>
      </c>
      <c r="P172" s="17" t="s">
        <v>1138</v>
      </c>
      <c r="Q172" s="14" t="s">
        <v>129</v>
      </c>
      <c r="R172" s="14" t="s">
        <v>130</v>
      </c>
      <c r="S172" s="28">
        <v>3124240343</v>
      </c>
      <c r="T172" s="28" t="s">
        <v>440</v>
      </c>
      <c r="U172" s="38" t="s">
        <v>1139</v>
      </c>
      <c r="V172">
        <f t="shared" si="33"/>
        <v>32</v>
      </c>
      <c r="W172">
        <f t="shared" si="34"/>
        <v>8</v>
      </c>
      <c r="X172">
        <f t="shared" si="35"/>
        <v>2026</v>
      </c>
      <c r="Y172" t="str">
        <f t="shared" si="36"/>
        <v>32-2026</v>
      </c>
      <c r="Z172" t="s">
        <v>133</v>
      </c>
    </row>
    <row r="173" spans="1:26" ht="29.1">
      <c r="A173" s="14">
        <v>3732676</v>
      </c>
      <c r="B173" s="14" t="s">
        <v>64</v>
      </c>
      <c r="C173" s="14" t="s">
        <v>645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124</v>
      </c>
      <c r="J173" s="14" t="s">
        <v>1140</v>
      </c>
      <c r="K173" s="14"/>
      <c r="L173" s="14" t="s">
        <v>4</v>
      </c>
      <c r="M173" s="14" t="s">
        <v>138</v>
      </c>
      <c r="N173" s="14" t="s">
        <v>1141</v>
      </c>
      <c r="O173" s="14" t="s">
        <v>506</v>
      </c>
      <c r="P173" s="17" t="s">
        <v>1142</v>
      </c>
      <c r="Q173" s="14" t="s">
        <v>129</v>
      </c>
      <c r="R173" s="14" t="s">
        <v>130</v>
      </c>
      <c r="S173" s="28">
        <v>3214639597</v>
      </c>
      <c r="T173" s="28" t="s">
        <v>440</v>
      </c>
      <c r="U173" s="38" t="s">
        <v>1143</v>
      </c>
      <c r="V173">
        <f t="shared" si="33"/>
        <v>32</v>
      </c>
      <c r="W173">
        <f t="shared" si="34"/>
        <v>8</v>
      </c>
      <c r="X173">
        <f t="shared" si="35"/>
        <v>2026</v>
      </c>
      <c r="Y173" t="str">
        <f t="shared" si="36"/>
        <v>32-2026</v>
      </c>
      <c r="Z173" t="s">
        <v>133</v>
      </c>
    </row>
    <row r="174" spans="1:26" ht="29.1">
      <c r="A174" s="14">
        <v>3735943</v>
      </c>
      <c r="B174" s="14" t="s">
        <v>17</v>
      </c>
      <c r="C174" s="14" t="s">
        <v>278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124</v>
      </c>
      <c r="J174" s="14" t="s">
        <v>1144</v>
      </c>
      <c r="K174" s="14"/>
      <c r="L174" s="14" t="s">
        <v>4</v>
      </c>
      <c r="M174" s="14" t="s">
        <v>138</v>
      </c>
      <c r="N174" s="14" t="s">
        <v>1145</v>
      </c>
      <c r="O174" s="14" t="s">
        <v>460</v>
      </c>
      <c r="P174" s="17" t="s">
        <v>1146</v>
      </c>
      <c r="Q174" s="14" t="s">
        <v>212</v>
      </c>
      <c r="R174" s="14" t="s">
        <v>213</v>
      </c>
      <c r="S174" s="28" t="s">
        <v>1147</v>
      </c>
      <c r="T174" s="28">
        <v>3143367125</v>
      </c>
      <c r="U174" s="38" t="s">
        <v>1148</v>
      </c>
      <c r="V174">
        <f t="shared" si="33"/>
        <v>32</v>
      </c>
      <c r="W174">
        <f t="shared" si="34"/>
        <v>8</v>
      </c>
      <c r="X174">
        <f t="shared" si="35"/>
        <v>2026</v>
      </c>
      <c r="Y174" t="str">
        <f t="shared" si="36"/>
        <v>32-2026</v>
      </c>
      <c r="Z174" t="s">
        <v>133</v>
      </c>
    </row>
    <row r="175" spans="1:26" ht="29.1">
      <c r="A175" s="14">
        <v>3736014</v>
      </c>
      <c r="B175" s="14" t="s">
        <v>64</v>
      </c>
      <c r="C175" s="14" t="s">
        <v>645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124</v>
      </c>
      <c r="J175" s="14" t="s">
        <v>1149</v>
      </c>
      <c r="K175" s="14"/>
      <c r="L175" s="14" t="s">
        <v>4</v>
      </c>
      <c r="M175" s="14" t="s">
        <v>138</v>
      </c>
      <c r="N175" s="14" t="s">
        <v>1150</v>
      </c>
      <c r="O175" s="14" t="s">
        <v>506</v>
      </c>
      <c r="P175" s="17" t="s">
        <v>1151</v>
      </c>
      <c r="Q175" s="14" t="s">
        <v>129</v>
      </c>
      <c r="R175" s="14" t="s">
        <v>130</v>
      </c>
      <c r="S175" s="28">
        <v>3212608047</v>
      </c>
      <c r="T175" s="28" t="s">
        <v>440</v>
      </c>
      <c r="U175" s="38" t="s">
        <v>1152</v>
      </c>
      <c r="V175">
        <f t="shared" ref="V175:V186" si="37">WEEKNUM(E175)</f>
        <v>32</v>
      </c>
      <c r="W175">
        <f t="shared" ref="W175:W186" si="38">MONTH(E175)</f>
        <v>8</v>
      </c>
      <c r="X175">
        <f t="shared" ref="X175:X186" si="39">YEAR(E175)</f>
        <v>2026</v>
      </c>
      <c r="Y175" t="str">
        <f t="shared" ref="Y175:Y186" si="40">_xlfn.CONCAT(V175,"-",X175)</f>
        <v>32-2026</v>
      </c>
      <c r="Z175" t="s">
        <v>133</v>
      </c>
    </row>
    <row r="176" spans="1:26" ht="29.1">
      <c r="A176" s="14">
        <v>3736083</v>
      </c>
      <c r="B176" s="14" t="s">
        <v>64</v>
      </c>
      <c r="C176" s="14" t="s">
        <v>645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124</v>
      </c>
      <c r="J176" s="14" t="s">
        <v>1153</v>
      </c>
      <c r="K176" s="14"/>
      <c r="L176" s="14" t="s">
        <v>4</v>
      </c>
      <c r="M176" s="14" t="s">
        <v>138</v>
      </c>
      <c r="N176" s="14" t="s">
        <v>1154</v>
      </c>
      <c r="O176" s="14" t="s">
        <v>506</v>
      </c>
      <c r="P176" s="17" t="s">
        <v>1155</v>
      </c>
      <c r="Q176" s="14" t="s">
        <v>155</v>
      </c>
      <c r="R176" s="14" t="s">
        <v>130</v>
      </c>
      <c r="S176" s="28" t="s">
        <v>1156</v>
      </c>
      <c r="T176" s="28" t="s">
        <v>440</v>
      </c>
      <c r="U176" s="38" t="s">
        <v>1157</v>
      </c>
      <c r="V176">
        <f t="shared" si="37"/>
        <v>32</v>
      </c>
      <c r="W176">
        <f t="shared" si="38"/>
        <v>8</v>
      </c>
      <c r="X176">
        <f t="shared" si="39"/>
        <v>2026</v>
      </c>
      <c r="Y176" t="str">
        <f t="shared" si="40"/>
        <v>32-2026</v>
      </c>
      <c r="Z176" t="s">
        <v>133</v>
      </c>
    </row>
    <row r="177" spans="1:29" ht="29.1">
      <c r="A177" s="14">
        <v>3736120</v>
      </c>
      <c r="B177" s="14" t="s">
        <v>64</v>
      </c>
      <c r="C177" s="14" t="s">
        <v>645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124</v>
      </c>
      <c r="J177" s="14" t="s">
        <v>1158</v>
      </c>
      <c r="K177" s="14"/>
      <c r="L177" s="14" t="s">
        <v>4</v>
      </c>
      <c r="M177" s="14" t="s">
        <v>138</v>
      </c>
      <c r="N177" s="14" t="s">
        <v>1159</v>
      </c>
      <c r="O177" s="14" t="s">
        <v>506</v>
      </c>
      <c r="P177" s="17" t="s">
        <v>1160</v>
      </c>
      <c r="Q177" s="14" t="s">
        <v>129</v>
      </c>
      <c r="R177" s="14" t="s">
        <v>130</v>
      </c>
      <c r="S177" s="28" t="s">
        <v>1156</v>
      </c>
      <c r="T177" s="28" t="s">
        <v>440</v>
      </c>
      <c r="U177" s="38" t="s">
        <v>1161</v>
      </c>
      <c r="V177">
        <f t="shared" si="37"/>
        <v>32</v>
      </c>
      <c r="W177">
        <f t="shared" si="38"/>
        <v>8</v>
      </c>
      <c r="X177">
        <f t="shared" si="39"/>
        <v>2026</v>
      </c>
      <c r="Y177" t="str">
        <f t="shared" si="40"/>
        <v>32-2026</v>
      </c>
      <c r="Z177" t="s">
        <v>133</v>
      </c>
    </row>
    <row r="178" spans="1:29" ht="29.1">
      <c r="A178" s="14">
        <v>3736312</v>
      </c>
      <c r="B178" s="14" t="s">
        <v>80</v>
      </c>
      <c r="C178" s="14" t="s">
        <v>434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124</v>
      </c>
      <c r="J178" s="14" t="s">
        <v>1162</v>
      </c>
      <c r="K178" s="14"/>
      <c r="L178" s="14" t="s">
        <v>5</v>
      </c>
      <c r="M178" s="14" t="s">
        <v>126</v>
      </c>
      <c r="N178" s="14" t="s">
        <v>1163</v>
      </c>
      <c r="O178" s="14" t="s">
        <v>553</v>
      </c>
      <c r="P178" s="46" t="s">
        <v>1164</v>
      </c>
      <c r="Q178" s="14" t="s">
        <v>212</v>
      </c>
      <c r="R178" s="14" t="s">
        <v>213</v>
      </c>
      <c r="S178" s="28" t="s">
        <v>1165</v>
      </c>
      <c r="T178" s="28">
        <v>3156401469</v>
      </c>
      <c r="U178" s="38" t="s">
        <v>1166</v>
      </c>
      <c r="V178">
        <f t="shared" si="37"/>
        <v>32</v>
      </c>
      <c r="W178">
        <f t="shared" si="38"/>
        <v>8</v>
      </c>
      <c r="X178">
        <f t="shared" si="39"/>
        <v>2026</v>
      </c>
      <c r="Y178" t="str">
        <f t="shared" si="40"/>
        <v>32-2026</v>
      </c>
      <c r="Z178" t="s">
        <v>133</v>
      </c>
    </row>
    <row r="179" spans="1:29" ht="29.1">
      <c r="A179" s="14">
        <v>3739462</v>
      </c>
      <c r="B179" s="14" t="s">
        <v>81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124</v>
      </c>
      <c r="J179" s="14" t="s">
        <v>1167</v>
      </c>
      <c r="K179" s="14"/>
      <c r="L179" s="14" t="s">
        <v>4</v>
      </c>
      <c r="M179" s="14" t="s">
        <v>138</v>
      </c>
      <c r="N179" s="14" t="s">
        <v>1168</v>
      </c>
      <c r="O179" s="14" t="s">
        <v>506</v>
      </c>
      <c r="P179" s="17" t="s">
        <v>1169</v>
      </c>
      <c r="Q179" s="14" t="s">
        <v>129</v>
      </c>
      <c r="R179" s="14" t="s">
        <v>130</v>
      </c>
      <c r="S179" s="28">
        <v>3214639597</v>
      </c>
      <c r="T179" s="28">
        <v>3022964506</v>
      </c>
      <c r="U179" s="38" t="s">
        <v>1170</v>
      </c>
      <c r="V179">
        <f t="shared" si="37"/>
        <v>32</v>
      </c>
      <c r="W179">
        <f t="shared" si="38"/>
        <v>8</v>
      </c>
      <c r="X179">
        <f t="shared" si="39"/>
        <v>2026</v>
      </c>
      <c r="Y179" t="str">
        <f t="shared" si="40"/>
        <v>32-2026</v>
      </c>
      <c r="Z179" t="s">
        <v>133</v>
      </c>
    </row>
    <row r="180" spans="1:29" ht="29.1">
      <c r="A180" s="14">
        <v>3739465</v>
      </c>
      <c r="B180" s="14" t="s">
        <v>81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124</v>
      </c>
      <c r="J180" s="14" t="s">
        <v>1171</v>
      </c>
      <c r="K180" s="14"/>
      <c r="L180" s="14" t="s">
        <v>4</v>
      </c>
      <c r="M180" s="14" t="s">
        <v>138</v>
      </c>
      <c r="N180" s="14" t="s">
        <v>1172</v>
      </c>
      <c r="O180" s="14" t="s">
        <v>506</v>
      </c>
      <c r="P180" s="17" t="s">
        <v>1173</v>
      </c>
      <c r="Q180" s="14" t="s">
        <v>129</v>
      </c>
      <c r="R180" s="14" t="s">
        <v>130</v>
      </c>
      <c r="S180" s="28">
        <v>3112163546</v>
      </c>
      <c r="T180" s="28" t="s">
        <v>264</v>
      </c>
      <c r="U180" s="38" t="s">
        <v>1174</v>
      </c>
      <c r="V180">
        <f t="shared" si="37"/>
        <v>32</v>
      </c>
      <c r="W180">
        <f t="shared" si="38"/>
        <v>8</v>
      </c>
      <c r="X180">
        <f t="shared" si="39"/>
        <v>2026</v>
      </c>
      <c r="Y180" t="str">
        <f t="shared" si="40"/>
        <v>32-2026</v>
      </c>
      <c r="Z180" t="s">
        <v>133</v>
      </c>
    </row>
    <row r="181" spans="1:29" ht="29.1">
      <c r="A181" s="14">
        <v>3742510</v>
      </c>
      <c r="B181" s="14" t="s">
        <v>81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124</v>
      </c>
      <c r="J181" s="14" t="s">
        <v>1175</v>
      </c>
      <c r="K181" s="14"/>
      <c r="L181" s="14" t="s">
        <v>4</v>
      </c>
      <c r="M181" s="14" t="s">
        <v>138</v>
      </c>
      <c r="N181" s="14" t="s">
        <v>1176</v>
      </c>
      <c r="O181" s="14" t="s">
        <v>506</v>
      </c>
      <c r="P181" s="17" t="s">
        <v>1177</v>
      </c>
      <c r="Q181" s="14" t="s">
        <v>212</v>
      </c>
      <c r="R181" s="14" t="s">
        <v>213</v>
      </c>
      <c r="S181" s="28">
        <v>3182433298</v>
      </c>
      <c r="T181" s="28" t="s">
        <v>264</v>
      </c>
      <c r="U181" s="38" t="s">
        <v>1178</v>
      </c>
      <c r="V181">
        <f t="shared" si="37"/>
        <v>32</v>
      </c>
      <c r="W181">
        <f t="shared" si="38"/>
        <v>8</v>
      </c>
      <c r="X181">
        <f t="shared" si="39"/>
        <v>2026</v>
      </c>
      <c r="Y181" t="str">
        <f t="shared" si="40"/>
        <v>32-2026</v>
      </c>
      <c r="Z181" t="s">
        <v>243</v>
      </c>
      <c r="AC181" t="s">
        <v>985</v>
      </c>
    </row>
    <row r="182" spans="1:29" ht="29.1">
      <c r="A182" s="14">
        <v>3742517</v>
      </c>
      <c r="B182" s="14" t="s">
        <v>81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124</v>
      </c>
      <c r="J182" s="14" t="s">
        <v>1179</v>
      </c>
      <c r="K182" s="14"/>
      <c r="L182" s="14" t="s">
        <v>4</v>
      </c>
      <c r="M182" s="14" t="s">
        <v>138</v>
      </c>
      <c r="N182" s="14" t="s">
        <v>1180</v>
      </c>
      <c r="O182" s="14" t="s">
        <v>506</v>
      </c>
      <c r="P182" s="17" t="s">
        <v>1181</v>
      </c>
      <c r="Q182" s="14" t="s">
        <v>212</v>
      </c>
      <c r="R182" s="14" t="s">
        <v>213</v>
      </c>
      <c r="S182" s="28">
        <v>3202713662</v>
      </c>
      <c r="T182" s="28" t="s">
        <v>1182</v>
      </c>
      <c r="U182" s="38" t="s">
        <v>1183</v>
      </c>
      <c r="V182">
        <f t="shared" si="37"/>
        <v>32</v>
      </c>
      <c r="W182">
        <f t="shared" si="38"/>
        <v>8</v>
      </c>
      <c r="X182">
        <f t="shared" si="39"/>
        <v>2026</v>
      </c>
      <c r="Y182" t="str">
        <f t="shared" si="40"/>
        <v>32-2026</v>
      </c>
      <c r="Z182" t="s">
        <v>133</v>
      </c>
    </row>
    <row r="183" spans="1:29" ht="29.1">
      <c r="A183" s="14">
        <v>3742543</v>
      </c>
      <c r="B183" s="14" t="s">
        <v>81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124</v>
      </c>
      <c r="J183" s="14" t="s">
        <v>1184</v>
      </c>
      <c r="K183" s="14"/>
      <c r="L183" s="14" t="s">
        <v>4</v>
      </c>
      <c r="M183" s="14" t="s">
        <v>138</v>
      </c>
      <c r="N183" s="14" t="s">
        <v>1185</v>
      </c>
      <c r="O183" s="14" t="s">
        <v>506</v>
      </c>
      <c r="P183" s="17" t="s">
        <v>1186</v>
      </c>
      <c r="Q183" s="14" t="s">
        <v>129</v>
      </c>
      <c r="R183" s="14" t="s">
        <v>213</v>
      </c>
      <c r="S183" s="28">
        <v>3112622844</v>
      </c>
      <c r="T183" s="28" t="s">
        <v>264</v>
      </c>
      <c r="U183" s="38" t="s">
        <v>1187</v>
      </c>
      <c r="V183">
        <f t="shared" si="37"/>
        <v>32</v>
      </c>
      <c r="W183">
        <f t="shared" si="38"/>
        <v>8</v>
      </c>
      <c r="X183">
        <f t="shared" si="39"/>
        <v>2026</v>
      </c>
      <c r="Y183" t="str">
        <f t="shared" si="40"/>
        <v>32-2026</v>
      </c>
      <c r="Z183" t="s">
        <v>133</v>
      </c>
    </row>
    <row r="184" spans="1:29" ht="29.1">
      <c r="A184" s="14">
        <v>3742663</v>
      </c>
      <c r="B184" s="14" t="s">
        <v>81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124</v>
      </c>
      <c r="J184" s="14" t="s">
        <v>1188</v>
      </c>
      <c r="K184" s="14" t="s">
        <v>1189</v>
      </c>
      <c r="L184" s="14" t="s">
        <v>4</v>
      </c>
      <c r="M184" s="14" t="s">
        <v>138</v>
      </c>
      <c r="N184" s="14" t="s">
        <v>1190</v>
      </c>
      <c r="O184" s="14" t="s">
        <v>506</v>
      </c>
      <c r="P184" s="17" t="s">
        <v>1191</v>
      </c>
      <c r="Q184" s="14" t="s">
        <v>129</v>
      </c>
      <c r="R184" s="14" t="s">
        <v>213</v>
      </c>
      <c r="S184" s="28">
        <v>3118989600</v>
      </c>
      <c r="T184" s="28" t="s">
        <v>264</v>
      </c>
      <c r="U184" s="38" t="s">
        <v>1192</v>
      </c>
      <c r="V184">
        <f t="shared" si="37"/>
        <v>32</v>
      </c>
      <c r="W184">
        <f t="shared" si="38"/>
        <v>8</v>
      </c>
      <c r="X184">
        <f t="shared" si="39"/>
        <v>2026</v>
      </c>
      <c r="Y184" t="str">
        <f t="shared" si="40"/>
        <v>32-2026</v>
      </c>
      <c r="Z184" t="s">
        <v>133</v>
      </c>
    </row>
    <row r="185" spans="1:29" ht="29.1">
      <c r="A185" s="14">
        <v>3748950</v>
      </c>
      <c r="B185" s="14" t="s">
        <v>66</v>
      </c>
      <c r="C185" s="14" t="s">
        <v>404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124</v>
      </c>
      <c r="J185" s="14" t="s">
        <v>1193</v>
      </c>
      <c r="K185" s="14"/>
      <c r="L185" s="14" t="s">
        <v>5</v>
      </c>
      <c r="M185" s="14" t="s">
        <v>126</v>
      </c>
      <c r="N185" s="14" t="s">
        <v>1194</v>
      </c>
      <c r="O185" s="14" t="s">
        <v>553</v>
      </c>
      <c r="P185" s="17" t="s">
        <v>1195</v>
      </c>
      <c r="Q185" s="14" t="s">
        <v>129</v>
      </c>
      <c r="R185" s="14" t="s">
        <v>130</v>
      </c>
      <c r="S185" s="28">
        <v>3005997366</v>
      </c>
      <c r="T185" s="28" t="s">
        <v>1196</v>
      </c>
      <c r="U185" s="38" t="s">
        <v>1197</v>
      </c>
      <c r="V185">
        <f t="shared" si="37"/>
        <v>33</v>
      </c>
      <c r="W185">
        <f t="shared" si="38"/>
        <v>8</v>
      </c>
      <c r="X185">
        <f t="shared" si="39"/>
        <v>2026</v>
      </c>
      <c r="Y185" t="str">
        <f t="shared" si="40"/>
        <v>33-2026</v>
      </c>
      <c r="Z185" t="s">
        <v>133</v>
      </c>
    </row>
    <row r="186" spans="1:29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124</v>
      </c>
      <c r="J186" s="14" t="s">
        <v>1198</v>
      </c>
      <c r="K186" s="14"/>
      <c r="L186" s="14" t="s">
        <v>4</v>
      </c>
      <c r="M186" s="14" t="s">
        <v>178</v>
      </c>
      <c r="N186" s="14" t="s">
        <v>1199</v>
      </c>
      <c r="O186" s="14" t="s">
        <v>460</v>
      </c>
      <c r="P186" s="17" t="s">
        <v>1200</v>
      </c>
      <c r="Q186" s="14" t="s">
        <v>155</v>
      </c>
      <c r="R186" s="14" t="s">
        <v>522</v>
      </c>
      <c r="S186" s="28">
        <v>3144474791</v>
      </c>
      <c r="T186" s="28" t="s">
        <v>726</v>
      </c>
      <c r="U186" s="38" t="s">
        <v>1201</v>
      </c>
      <c r="V186">
        <f t="shared" si="37"/>
        <v>33</v>
      </c>
      <c r="W186">
        <f t="shared" si="38"/>
        <v>8</v>
      </c>
      <c r="X186">
        <f t="shared" si="39"/>
        <v>2026</v>
      </c>
      <c r="Y186" t="str">
        <f t="shared" si="40"/>
        <v>33-2026</v>
      </c>
      <c r="Z186" t="s">
        <v>133</v>
      </c>
    </row>
    <row r="187" spans="1:29" ht="29.1">
      <c r="A187" s="14">
        <v>3749171</v>
      </c>
      <c r="B187" s="14" t="s">
        <v>67</v>
      </c>
      <c r="C187" s="14" t="s">
        <v>420</v>
      </c>
      <c r="D187" s="24">
        <v>46244</v>
      </c>
      <c r="E187" s="24">
        <v>46244</v>
      </c>
      <c r="F187" s="25">
        <v>0.62916666666666665</v>
      </c>
      <c r="G187" s="14">
        <v>2026</v>
      </c>
      <c r="H187" s="14">
        <v>8</v>
      </c>
      <c r="I187" s="14" t="s">
        <v>124</v>
      </c>
      <c r="J187" s="14" t="s">
        <v>1202</v>
      </c>
      <c r="K187" s="14"/>
      <c r="L187" s="14" t="s">
        <v>4</v>
      </c>
      <c r="M187" s="14" t="s">
        <v>138</v>
      </c>
      <c r="N187" s="14" t="s">
        <v>1203</v>
      </c>
      <c r="O187" s="14" t="s">
        <v>506</v>
      </c>
      <c r="P187" s="17" t="s">
        <v>1204</v>
      </c>
      <c r="Q187" s="14" t="s">
        <v>212</v>
      </c>
      <c r="R187" s="14" t="s">
        <v>130</v>
      </c>
      <c r="S187" s="28" t="s">
        <v>1205</v>
      </c>
      <c r="T187" s="28" t="s">
        <v>631</v>
      </c>
      <c r="U187" s="38" t="s">
        <v>1206</v>
      </c>
      <c r="V187">
        <f t="shared" ref="V187:V191" si="41">WEEKNUM(E187)</f>
        <v>33</v>
      </c>
      <c r="W187">
        <f t="shared" ref="W187:W191" si="42">MONTH(E187)</f>
        <v>8</v>
      </c>
      <c r="X187">
        <f t="shared" ref="X187:X191" si="43">YEAR(E187)</f>
        <v>2026</v>
      </c>
      <c r="Y187" t="str">
        <f t="shared" ref="Y187:Y191" si="44">_xlfn.CONCAT(V187,"-",X187)</f>
        <v>33-2026</v>
      </c>
    </row>
    <row r="188" spans="1:29" ht="29.1">
      <c r="A188" s="14">
        <v>3749175</v>
      </c>
      <c r="B188" s="14" t="s">
        <v>67</v>
      </c>
      <c r="C188" s="14" t="s">
        <v>420</v>
      </c>
      <c r="D188" s="24">
        <v>46244</v>
      </c>
      <c r="E188" s="24">
        <v>46244</v>
      </c>
      <c r="F188" s="25">
        <v>0.6333333333333333</v>
      </c>
      <c r="G188" s="14">
        <v>2026</v>
      </c>
      <c r="H188" s="14">
        <v>8</v>
      </c>
      <c r="I188" s="14" t="s">
        <v>124</v>
      </c>
      <c r="J188" s="14" t="s">
        <v>1207</v>
      </c>
      <c r="K188" s="14"/>
      <c r="L188" s="14" t="s">
        <v>4</v>
      </c>
      <c r="M188" s="14" t="s">
        <v>138</v>
      </c>
      <c r="N188" s="14" t="s">
        <v>1208</v>
      </c>
      <c r="O188" s="14" t="s">
        <v>506</v>
      </c>
      <c r="P188" s="17" t="s">
        <v>1209</v>
      </c>
      <c r="Q188" s="14" t="s">
        <v>212</v>
      </c>
      <c r="R188" s="14" t="s">
        <v>130</v>
      </c>
      <c r="S188" s="28">
        <v>3202758832</v>
      </c>
      <c r="T188" s="28" t="s">
        <v>631</v>
      </c>
      <c r="U188" s="38" t="s">
        <v>1210</v>
      </c>
      <c r="V188">
        <f t="shared" si="41"/>
        <v>33</v>
      </c>
      <c r="W188">
        <f t="shared" si="42"/>
        <v>8</v>
      </c>
      <c r="X188">
        <f t="shared" si="43"/>
        <v>2026</v>
      </c>
      <c r="Y188" t="str">
        <f t="shared" si="44"/>
        <v>33-2026</v>
      </c>
    </row>
    <row r="189" spans="1:29" ht="29.1">
      <c r="A189" s="14">
        <v>3749005</v>
      </c>
      <c r="B189" s="14" t="s">
        <v>11</v>
      </c>
      <c r="C189" s="14" t="s">
        <v>334</v>
      </c>
      <c r="D189" s="24">
        <v>46244</v>
      </c>
      <c r="E189" s="24">
        <v>46244</v>
      </c>
      <c r="F189" s="25">
        <v>0.46875</v>
      </c>
      <c r="G189" s="14">
        <v>2026</v>
      </c>
      <c r="H189" s="14">
        <v>8</v>
      </c>
      <c r="I189" s="14" t="s">
        <v>124</v>
      </c>
      <c r="J189" s="14" t="s">
        <v>1211</v>
      </c>
      <c r="K189" s="14"/>
      <c r="L189" s="14" t="s">
        <v>4</v>
      </c>
      <c r="M189" s="14" t="s">
        <v>138</v>
      </c>
      <c r="N189" s="14" t="s">
        <v>1212</v>
      </c>
      <c r="O189" s="14" t="s">
        <v>506</v>
      </c>
      <c r="P189" s="17" t="s">
        <v>1213</v>
      </c>
      <c r="Q189" s="14" t="s">
        <v>129</v>
      </c>
      <c r="R189" s="14" t="s">
        <v>130</v>
      </c>
      <c r="S189" s="28" t="s">
        <v>1214</v>
      </c>
      <c r="T189" s="28" t="s">
        <v>447</v>
      </c>
      <c r="U189" s="38" t="s">
        <v>1215</v>
      </c>
      <c r="V189">
        <f t="shared" si="41"/>
        <v>33</v>
      </c>
      <c r="W189">
        <f t="shared" si="42"/>
        <v>8</v>
      </c>
      <c r="X189">
        <f t="shared" si="43"/>
        <v>2026</v>
      </c>
      <c r="Y189" t="str">
        <f t="shared" si="44"/>
        <v>33-2026</v>
      </c>
    </row>
    <row r="190" spans="1:29" ht="27" customHeight="1">
      <c r="A190" s="14">
        <v>3754063</v>
      </c>
      <c r="B190" s="14" t="s">
        <v>17</v>
      </c>
      <c r="C190" s="14" t="s">
        <v>278</v>
      </c>
      <c r="D190" s="24">
        <v>46245</v>
      </c>
      <c r="E190" s="24">
        <v>46245</v>
      </c>
      <c r="F190" s="25">
        <v>0.46250000000000002</v>
      </c>
      <c r="G190" s="14">
        <v>2026</v>
      </c>
      <c r="H190" s="14">
        <v>8</v>
      </c>
      <c r="I190" s="14" t="s">
        <v>124</v>
      </c>
      <c r="J190" s="14" t="s">
        <v>1216</v>
      </c>
      <c r="K190" s="14"/>
      <c r="L190" s="14" t="s">
        <v>4</v>
      </c>
      <c r="M190" s="14" t="s">
        <v>138</v>
      </c>
      <c r="N190" s="14" t="s">
        <v>1217</v>
      </c>
      <c r="O190" s="14" t="s">
        <v>460</v>
      </c>
      <c r="P190" s="17" t="s">
        <v>1218</v>
      </c>
      <c r="Q190" s="14" t="s">
        <v>129</v>
      </c>
      <c r="R190" s="14" t="s">
        <v>130</v>
      </c>
      <c r="S190" s="28" t="s">
        <v>1219</v>
      </c>
      <c r="T190" s="28">
        <v>3176550456</v>
      </c>
      <c r="U190" s="38" t="s">
        <v>1220</v>
      </c>
      <c r="V190">
        <f t="shared" si="41"/>
        <v>33</v>
      </c>
      <c r="W190">
        <f t="shared" si="42"/>
        <v>8</v>
      </c>
      <c r="X190">
        <f t="shared" si="43"/>
        <v>2026</v>
      </c>
      <c r="Y190" t="str">
        <f t="shared" si="44"/>
        <v>33-2026</v>
      </c>
    </row>
    <row r="191" spans="1:29" ht="30.95" customHeight="1">
      <c r="A191" s="14">
        <v>3754068</v>
      </c>
      <c r="B191" s="14" t="s">
        <v>17</v>
      </c>
      <c r="C191" s="14" t="s">
        <v>278</v>
      </c>
      <c r="D191" s="24">
        <v>46245</v>
      </c>
      <c r="E191" s="24">
        <v>46245</v>
      </c>
      <c r="F191" s="25">
        <v>0.46597222222222223</v>
      </c>
      <c r="G191" s="14">
        <v>2026</v>
      </c>
      <c r="H191" s="14">
        <v>8</v>
      </c>
      <c r="I191" s="14" t="s">
        <v>124</v>
      </c>
      <c r="J191" s="14" t="s">
        <v>1221</v>
      </c>
      <c r="K191" s="14"/>
      <c r="L191" s="14" t="s">
        <v>4</v>
      </c>
      <c r="M191" s="14" t="s">
        <v>138</v>
      </c>
      <c r="N191" s="14" t="s">
        <v>1222</v>
      </c>
      <c r="O191" s="14" t="s">
        <v>460</v>
      </c>
      <c r="P191" s="17" t="s">
        <v>1223</v>
      </c>
      <c r="Q191" s="14" t="s">
        <v>155</v>
      </c>
      <c r="R191" s="14" t="s">
        <v>163</v>
      </c>
      <c r="S191" s="28">
        <v>3103468092</v>
      </c>
      <c r="T191" s="28" t="s">
        <v>283</v>
      </c>
      <c r="U191" s="38" t="s">
        <v>1224</v>
      </c>
      <c r="V191">
        <f t="shared" si="41"/>
        <v>33</v>
      </c>
      <c r="W191">
        <f t="shared" si="42"/>
        <v>8</v>
      </c>
      <c r="X191">
        <f t="shared" si="43"/>
        <v>2026</v>
      </c>
      <c r="Y191" t="str">
        <f t="shared" si="44"/>
        <v>33-2026</v>
      </c>
    </row>
  </sheetData>
  <autoFilter ref="A1:AN186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  <hyperlink ref="P187" r:id="rId195" xr:uid="{B9B9E0DA-A898-4636-B522-69262E6CF889}"/>
    <hyperlink ref="P190" r:id="rId196" xr:uid="{775B5FE6-3CAA-4DD0-93A3-0FD7E54EFDDE}"/>
    <hyperlink ref="P191" r:id="rId197" xr:uid="{00897C9D-A7EE-4E2B-A01B-D056EE41B80D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AH121:AH122 AH2:AH101 AH107:AH110 AH116 AH103:AH105 AH125 AH130 AH151 AH145:AH147 AH159 AH154 AH118:AH119 AH134 AH142 AH140 AH137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A8" sqref="A8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574</v>
      </c>
      <c r="B1" t="s">
        <v>1225</v>
      </c>
    </row>
    <row r="2" spans="1:5">
      <c r="A2" t="s">
        <v>138</v>
      </c>
      <c r="B2" t="s">
        <v>1226</v>
      </c>
      <c r="C2" t="s">
        <v>1227</v>
      </c>
      <c r="D2" t="s">
        <v>1228</v>
      </c>
      <c r="E2" t="s">
        <v>1229</v>
      </c>
    </row>
    <row r="3" spans="1:5">
      <c r="A3" t="s">
        <v>1230</v>
      </c>
      <c r="B3" t="s">
        <v>1231</v>
      </c>
    </row>
    <row r="4" spans="1:5">
      <c r="A4" t="s">
        <v>178</v>
      </c>
      <c r="B4" t="s">
        <v>1226</v>
      </c>
    </row>
    <row r="5" spans="1:5">
      <c r="A5" t="s">
        <v>851</v>
      </c>
      <c r="B5" t="s">
        <v>1228</v>
      </c>
    </row>
    <row r="6" spans="1:5">
      <c r="A6" t="s">
        <v>1232</v>
      </c>
      <c r="B6" t="s">
        <v>1225</v>
      </c>
    </row>
    <row r="7" spans="1:5">
      <c r="A7" t="s">
        <v>1233</v>
      </c>
      <c r="B7" t="s">
        <v>1231</v>
      </c>
    </row>
    <row r="8" spans="1:5">
      <c r="A8" t="s">
        <v>641</v>
      </c>
      <c r="B8" t="s">
        <v>1225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343</v>
      </c>
      <c r="C1" s="12" t="s">
        <v>1234</v>
      </c>
      <c r="D1" s="12" t="s">
        <v>1235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1236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1237</v>
      </c>
      <c r="B1" t="s">
        <v>1238</v>
      </c>
    </row>
    <row r="2" spans="1:2">
      <c r="A2" t="s">
        <v>1239</v>
      </c>
      <c r="B2" t="s">
        <v>1240</v>
      </c>
    </row>
    <row r="3" spans="1:2">
      <c r="A3" t="s">
        <v>1241</v>
      </c>
      <c r="B3" t="s">
        <v>1242</v>
      </c>
    </row>
    <row r="4" spans="1:2">
      <c r="A4" t="s">
        <v>1243</v>
      </c>
      <c r="B4" t="s">
        <v>1244</v>
      </c>
    </row>
    <row r="5" spans="1:2">
      <c r="A5" t="s">
        <v>1245</v>
      </c>
      <c r="B5" t="s">
        <v>1246</v>
      </c>
    </row>
    <row r="6" spans="1:2">
      <c r="A6" t="s">
        <v>1247</v>
      </c>
      <c r="B6" t="s">
        <v>1248</v>
      </c>
    </row>
    <row r="7" spans="1:2">
      <c r="A7" t="s">
        <v>1249</v>
      </c>
      <c r="B7" t="s">
        <v>1250</v>
      </c>
    </row>
    <row r="8" spans="1:2">
      <c r="A8" t="s">
        <v>1251</v>
      </c>
      <c r="B8" t="s">
        <v>1252</v>
      </c>
    </row>
    <row r="9" spans="1:2">
      <c r="A9" t="s">
        <v>1253</v>
      </c>
      <c r="B9" t="s">
        <v>1254</v>
      </c>
    </row>
    <row r="10" spans="1:2">
      <c r="A10" t="s">
        <v>1255</v>
      </c>
      <c r="B10" t="s">
        <v>1256</v>
      </c>
    </row>
    <row r="11" spans="1:2">
      <c r="A11" t="s">
        <v>1257</v>
      </c>
      <c r="B1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1258</v>
      </c>
      <c r="C1" s="8"/>
      <c r="D1" s="7" t="s">
        <v>1259</v>
      </c>
      <c r="E1" s="7" t="s">
        <v>1260</v>
      </c>
      <c r="F1" s="7" t="s">
        <v>1261</v>
      </c>
      <c r="G1" s="7" t="s">
        <v>1262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124</v>
      </c>
      <c r="O1" s="7" t="s">
        <v>1263</v>
      </c>
      <c r="P1" s="11" t="s">
        <v>1264</v>
      </c>
      <c r="Q1" s="7" t="s">
        <v>1265</v>
      </c>
      <c r="R1" s="1" t="s">
        <v>1266</v>
      </c>
      <c r="S1" s="7" t="s">
        <v>1267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1258</v>
      </c>
      <c r="C2" s="8"/>
      <c r="D2" s="7" t="s">
        <v>1259</v>
      </c>
      <c r="E2" s="7" t="s">
        <v>1260</v>
      </c>
      <c r="F2" s="7" t="s">
        <v>1261</v>
      </c>
      <c r="G2" s="7" t="s">
        <v>1262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124</v>
      </c>
      <c r="O2" s="7" t="s">
        <v>1263</v>
      </c>
      <c r="P2" s="11" t="s">
        <v>1264</v>
      </c>
      <c r="Q2" s="7" t="s">
        <v>1268</v>
      </c>
      <c r="R2" s="1" t="s">
        <v>1266</v>
      </c>
      <c r="S2" s="7" t="s">
        <v>1269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1270</v>
      </c>
      <c r="C3" s="8"/>
      <c r="D3" s="7" t="s">
        <v>1271</v>
      </c>
      <c r="E3" s="7" t="s">
        <v>1260</v>
      </c>
      <c r="F3" s="7" t="s">
        <v>1261</v>
      </c>
      <c r="G3" s="7" t="s">
        <v>1272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124</v>
      </c>
      <c r="O3" s="7" t="s">
        <v>1263</v>
      </c>
      <c r="P3" s="11" t="s">
        <v>1264</v>
      </c>
      <c r="Q3" s="7" t="s">
        <v>1273</v>
      </c>
      <c r="R3" s="1" t="s">
        <v>1266</v>
      </c>
      <c r="S3" s="7" t="s">
        <v>1274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1275</v>
      </c>
      <c r="E4" s="7" t="s">
        <v>1260</v>
      </c>
      <c r="F4" s="7" t="s">
        <v>1261</v>
      </c>
      <c r="G4" s="7" t="s">
        <v>1276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124</v>
      </c>
      <c r="O4" s="7" t="s">
        <v>1263</v>
      </c>
      <c r="P4" s="11" t="s">
        <v>1264</v>
      </c>
      <c r="Q4" s="7" t="s">
        <v>1277</v>
      </c>
      <c r="R4" s="1" t="s">
        <v>1266</v>
      </c>
      <c r="S4" s="7" t="s">
        <v>1278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1279</v>
      </c>
      <c r="C1" s="12" t="s">
        <v>1280</v>
      </c>
      <c r="D1" s="12" t="s">
        <v>1281</v>
      </c>
    </row>
    <row r="2" spans="1:4">
      <c r="A2" t="s">
        <v>1282</v>
      </c>
      <c r="B2" s="12">
        <v>33</v>
      </c>
      <c r="C2" s="12">
        <v>26</v>
      </c>
      <c r="D2" s="12">
        <v>2</v>
      </c>
    </row>
    <row r="3" spans="1:4">
      <c r="A3" t="s">
        <v>1238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110</v>
      </c>
      <c r="B1" s="6" t="s">
        <v>88</v>
      </c>
      <c r="C1" s="6" t="s">
        <v>1283</v>
      </c>
      <c r="D1" s="6" t="s">
        <v>1284</v>
      </c>
      <c r="E1" s="6" t="s">
        <v>1285</v>
      </c>
      <c r="F1" s="6" t="s">
        <v>1286</v>
      </c>
      <c r="G1" s="6" t="s">
        <v>1287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1288</v>
      </c>
      <c r="E2" s="4" t="s">
        <v>1289</v>
      </c>
      <c r="F2" s="5" t="s">
        <v>1290</v>
      </c>
      <c r="G2" s="5" t="s">
        <v>1291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1292</v>
      </c>
      <c r="E3" s="3" t="s">
        <v>1293</v>
      </c>
      <c r="F3" s="2" t="s">
        <v>1294</v>
      </c>
      <c r="G3" s="2" t="s">
        <v>1295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1296</v>
      </c>
      <c r="E4" s="4" t="s">
        <v>1293</v>
      </c>
      <c r="F4" s="5" t="s">
        <v>1297</v>
      </c>
      <c r="G4" s="5" t="s">
        <v>1295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1298</v>
      </c>
      <c r="E5" s="3" t="s">
        <v>1299</v>
      </c>
      <c r="F5" s="2" t="s">
        <v>1300</v>
      </c>
      <c r="G5" s="2" t="s">
        <v>1301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1302</v>
      </c>
      <c r="E6" s="4" t="s">
        <v>1303</v>
      </c>
      <c r="F6" s="5" t="s">
        <v>1304</v>
      </c>
      <c r="G6" s="5" t="s">
        <v>1301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1305</v>
      </c>
      <c r="E7" s="3" t="s">
        <v>1299</v>
      </c>
      <c r="F7" s="2" t="s">
        <v>1306</v>
      </c>
      <c r="G7" s="2" t="s">
        <v>1291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1307</v>
      </c>
      <c r="E8" s="4" t="s">
        <v>1293</v>
      </c>
      <c r="F8" s="5" t="s">
        <v>1308</v>
      </c>
      <c r="G8" s="5" t="s">
        <v>1295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1309</v>
      </c>
      <c r="E9" s="3" t="s">
        <v>1293</v>
      </c>
      <c r="F9" s="2" t="s">
        <v>1310</v>
      </c>
      <c r="G9" s="2" t="s">
        <v>1295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1311</v>
      </c>
      <c r="E10" s="4" t="s">
        <v>1293</v>
      </c>
      <c r="F10" s="5" t="s">
        <v>1312</v>
      </c>
      <c r="G10" s="5" t="s">
        <v>1295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1313</v>
      </c>
      <c r="E11" s="3" t="s">
        <v>1314</v>
      </c>
      <c r="F11" s="2" t="s">
        <v>1315</v>
      </c>
      <c r="G11" s="2" t="s">
        <v>1291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1316</v>
      </c>
      <c r="E12" s="4" t="s">
        <v>1299</v>
      </c>
      <c r="F12" s="5" t="s">
        <v>1317</v>
      </c>
      <c r="G12" s="5" t="s">
        <v>1291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1318</v>
      </c>
      <c r="E13" s="3" t="s">
        <v>1293</v>
      </c>
      <c r="F13" s="2" t="s">
        <v>1319</v>
      </c>
      <c r="G13" s="2" t="s">
        <v>1295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1320</v>
      </c>
      <c r="E14" s="4" t="s">
        <v>1293</v>
      </c>
      <c r="F14" s="5" t="s">
        <v>1321</v>
      </c>
      <c r="G14" s="5" t="s">
        <v>1295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1322</v>
      </c>
      <c r="E15" s="3" t="s">
        <v>1293</v>
      </c>
      <c r="F15" s="2" t="s">
        <v>1323</v>
      </c>
      <c r="G15" s="2" t="s">
        <v>1295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1324</v>
      </c>
      <c r="E16" s="4" t="s">
        <v>1293</v>
      </c>
      <c r="F16" s="5" t="s">
        <v>1325</v>
      </c>
      <c r="G16" s="5" t="s">
        <v>1295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1326</v>
      </c>
      <c r="E17" s="3" t="s">
        <v>1293</v>
      </c>
      <c r="F17" s="2" t="s">
        <v>1327</v>
      </c>
      <c r="G17" s="2" t="s">
        <v>1291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1328</v>
      </c>
      <c r="E18" s="4" t="s">
        <v>1299</v>
      </c>
      <c r="F18" s="5" t="s">
        <v>1329</v>
      </c>
      <c r="G18" s="5" t="s">
        <v>1291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1330</v>
      </c>
      <c r="E19" s="3" t="s">
        <v>1299</v>
      </c>
      <c r="F19" s="2" t="s">
        <v>1290</v>
      </c>
      <c r="G19" s="2" t="s">
        <v>1291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1331</v>
      </c>
      <c r="E20" s="4" t="s">
        <v>1293</v>
      </c>
      <c r="F20" s="5" t="s">
        <v>1294</v>
      </c>
      <c r="G20" s="5" t="s">
        <v>1295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1332</v>
      </c>
      <c r="E21" s="3" t="s">
        <v>1293</v>
      </c>
      <c r="F21" s="2" t="s">
        <v>1297</v>
      </c>
      <c r="G21" s="2" t="s">
        <v>1295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1333</v>
      </c>
      <c r="E22" s="4" t="s">
        <v>1299</v>
      </c>
      <c r="F22" s="5" t="s">
        <v>1300</v>
      </c>
      <c r="G22" s="5" t="s">
        <v>1301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1334</v>
      </c>
      <c r="E23" s="3" t="s">
        <v>1303</v>
      </c>
      <c r="F23" s="2" t="s">
        <v>1304</v>
      </c>
      <c r="G23" s="2" t="s">
        <v>1301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1335</v>
      </c>
      <c r="E24" s="4" t="s">
        <v>1303</v>
      </c>
      <c r="F24" s="5" t="s">
        <v>1306</v>
      </c>
      <c r="G24" s="5" t="s">
        <v>1291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1336</v>
      </c>
      <c r="E25" s="3" t="s">
        <v>1293</v>
      </c>
      <c r="F25" s="2" t="s">
        <v>1337</v>
      </c>
      <c r="G25" s="2" t="s">
        <v>1295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1338</v>
      </c>
      <c r="E26" s="4" t="s">
        <v>1293</v>
      </c>
      <c r="F26" s="5" t="s">
        <v>1310</v>
      </c>
      <c r="G26" s="5" t="s">
        <v>1295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1339</v>
      </c>
      <c r="E27" s="3" t="s">
        <v>1293</v>
      </c>
      <c r="F27" s="2" t="s">
        <v>1340</v>
      </c>
      <c r="G27" s="2" t="s">
        <v>1295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1341</v>
      </c>
      <c r="E28" s="4" t="s">
        <v>1293</v>
      </c>
      <c r="F28" s="5" t="s">
        <v>1342</v>
      </c>
      <c r="G28" s="5" t="s">
        <v>1295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1343</v>
      </c>
      <c r="E29" s="3" t="s">
        <v>1299</v>
      </c>
      <c r="F29" s="2" t="s">
        <v>1344</v>
      </c>
      <c r="G29" s="2" t="s">
        <v>1345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1346</v>
      </c>
      <c r="E30" s="4" t="s">
        <v>1293</v>
      </c>
      <c r="F30" s="5" t="s">
        <v>1315</v>
      </c>
      <c r="G30" s="5" t="s">
        <v>1291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1347</v>
      </c>
      <c r="E31" s="3" t="s">
        <v>1303</v>
      </c>
      <c r="F31" s="2" t="s">
        <v>1317</v>
      </c>
      <c r="G31" s="2" t="s">
        <v>1291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1348</v>
      </c>
      <c r="E32" s="4" t="s">
        <v>1293</v>
      </c>
      <c r="F32" s="5" t="s">
        <v>1319</v>
      </c>
      <c r="G32" s="5" t="s">
        <v>1295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1349</v>
      </c>
      <c r="E33" s="3" t="s">
        <v>1293</v>
      </c>
      <c r="F33" s="2" t="s">
        <v>1321</v>
      </c>
      <c r="G33" s="2" t="s">
        <v>1295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1350</v>
      </c>
      <c r="E34" s="4" t="s">
        <v>1293</v>
      </c>
      <c r="F34" s="5" t="s">
        <v>1323</v>
      </c>
      <c r="G34" s="5" t="s">
        <v>1295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1351</v>
      </c>
      <c r="E35" s="3" t="s">
        <v>1293</v>
      </c>
      <c r="F35" s="2" t="s">
        <v>1325</v>
      </c>
      <c r="G35" s="2" t="s">
        <v>1295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1352</v>
      </c>
      <c r="E36" s="4" t="s">
        <v>1353</v>
      </c>
      <c r="F36" s="5" t="s">
        <v>1327</v>
      </c>
      <c r="G36" s="5" t="s">
        <v>1291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1354</v>
      </c>
      <c r="E37" s="3" t="s">
        <v>1303</v>
      </c>
      <c r="F37" s="2" t="s">
        <v>1329</v>
      </c>
      <c r="G37" s="2" t="s">
        <v>1291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2026-08-11T21:33:07Z</dcterms:modified>
  <cp:category/>
  <cp:contentStatus/>
</cp:coreProperties>
</file>