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DD30EECD-2F12-4511-BE1F-F96E8051922F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JEFE REGIONAL" sheetId="18" r:id="rId3"/>
    <sheet name="Resumen operaciones" sheetId="16" r:id="rId4"/>
    <sheet name="Metas_Generales" sheetId="9" state="hidden" r:id="rId5"/>
    <sheet name="Hoja1" sheetId="8" state="hidden" r:id="rId6"/>
    <sheet name="Hoja2" sheetId="13" state="hidden" r:id="rId7"/>
    <sheet name="Festivos Colombia 2025-2026" sheetId="5" state="hidden" r:id="rId8"/>
  </sheets>
  <definedNames>
    <definedName name="_xlnm._FilterDatabase" localSheetId="1" hidden="1">Hoja4!$A$22:$B$37</definedName>
    <definedName name="_xlnm._FilterDatabase" localSheetId="3" hidden="1">'Resumen operaciones'!$A$1:$C$15</definedName>
    <definedName name="_xlnm._FilterDatabase" localSheetId="0" hidden="1">Visitas_Operaciones!$A$1:$AG$99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17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0" i="2" l="1"/>
  <c r="X100" i="2"/>
  <c r="Y100" i="2"/>
  <c r="Z100" i="2"/>
  <c r="W101" i="2"/>
  <c r="X101" i="2"/>
  <c r="Y101" i="2"/>
  <c r="Z101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Z81" i="2" s="1"/>
  <c r="X81" i="2"/>
  <c r="Y81" i="2"/>
  <c r="W82" i="2"/>
  <c r="X82" i="2"/>
  <c r="Y82" i="2"/>
  <c r="W83" i="2"/>
  <c r="X83" i="2"/>
  <c r="Y83" i="2"/>
  <c r="W84" i="2"/>
  <c r="Z84" i="2" s="1"/>
  <c r="X84" i="2"/>
  <c r="Y84" i="2"/>
  <c r="W85" i="2"/>
  <c r="Z85" i="2" s="1"/>
  <c r="X85" i="2"/>
  <c r="Y85" i="2"/>
  <c r="W86" i="2"/>
  <c r="X86" i="2"/>
  <c r="Y86" i="2"/>
  <c r="W87" i="2"/>
  <c r="X87" i="2"/>
  <c r="Y87" i="2"/>
  <c r="W88" i="2"/>
  <c r="X88" i="2"/>
  <c r="Y88" i="2"/>
  <c r="W89" i="2"/>
  <c r="Z89" i="2" s="1"/>
  <c r="X89" i="2"/>
  <c r="Y89" i="2"/>
  <c r="W90" i="2"/>
  <c r="X90" i="2"/>
  <c r="Y90" i="2"/>
  <c r="W91" i="2"/>
  <c r="Z91" i="2" s="1"/>
  <c r="X91" i="2"/>
  <c r="Y91" i="2"/>
  <c r="W92" i="2"/>
  <c r="X92" i="2"/>
  <c r="Y92" i="2"/>
  <c r="W93" i="2"/>
  <c r="Z93" i="2" s="1"/>
  <c r="X93" i="2"/>
  <c r="Y93" i="2"/>
  <c r="W94" i="2"/>
  <c r="Z94" i="2" s="1"/>
  <c r="X94" i="2"/>
  <c r="Y94" i="2"/>
  <c r="W95" i="2"/>
  <c r="Z95" i="2" s="1"/>
  <c r="X95" i="2"/>
  <c r="Y95" i="2"/>
  <c r="W96" i="2"/>
  <c r="X96" i="2"/>
  <c r="Y96" i="2"/>
  <c r="W97" i="2"/>
  <c r="Z97" i="2" s="1"/>
  <c r="X97" i="2"/>
  <c r="Y97" i="2"/>
  <c r="W98" i="2"/>
  <c r="Z98" i="2" s="1"/>
  <c r="X98" i="2"/>
  <c r="Y98" i="2"/>
  <c r="W99" i="2"/>
  <c r="X99" i="2"/>
  <c r="Y99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Z36" i="2" s="1"/>
  <c r="X36" i="2"/>
  <c r="Y36" i="2"/>
  <c r="W37" i="2"/>
  <c r="X37" i="2"/>
  <c r="Y37" i="2"/>
  <c r="W38" i="2"/>
  <c r="X38" i="2"/>
  <c r="Y38" i="2"/>
  <c r="W39" i="2"/>
  <c r="Z39" i="2" s="1"/>
  <c r="X39" i="2"/>
  <c r="Y39" i="2"/>
  <c r="W40" i="2"/>
  <c r="X40" i="2"/>
  <c r="Y40" i="2"/>
  <c r="W41" i="2"/>
  <c r="Z41" i="2" s="1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Z52" i="2" s="1"/>
  <c r="X52" i="2"/>
  <c r="Y52" i="2"/>
  <c r="W53" i="2"/>
  <c r="X53" i="2"/>
  <c r="Y53" i="2"/>
  <c r="W54" i="2"/>
  <c r="Z54" i="2" s="1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Z79" i="2" l="1"/>
  <c r="Z82" i="2"/>
  <c r="Z49" i="2"/>
  <c r="Z99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2" i="2"/>
  <c r="Z90" i="2"/>
  <c r="Z32" i="2"/>
  <c r="Z96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V4" i="8"/>
  <c r="V3" i="8"/>
  <c r="V2" i="8"/>
  <c r="V1" i="8"/>
  <c r="A1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<sst xmlns="http://schemas.openxmlformats.org/spreadsheetml/2006/main" count="2107" uniqueCount="826">
  <si>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</si>
  <si>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</si>
  <si>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</si>
  <si>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</si>
  <si>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</si>
  <si>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</si>
  <si>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</si>
  <si>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</si>
  <si>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</si>
  <si>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</si>
  <si>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</si>
  <si>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</si>
  <si>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</si>
  <si>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</si>
  <si>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</si>
  <si>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</si>
  <si>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</si>
  <si>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</si>
  <si>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</si>
  <si>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</si>
  <si>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</si>
  <si>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</si>
  <si>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Sem-Año</t>
  </si>
  <si>
    <t>Estado Growth</t>
  </si>
  <si>
    <t>Y</t>
  </si>
  <si>
    <t>X</t>
  </si>
  <si>
    <t>Comentarios</t>
  </si>
  <si>
    <t>Seguimiento Regional</t>
  </si>
  <si>
    <t>Semana</t>
  </si>
  <si>
    <t>Valido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</si>
  <si>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</si>
  <si>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</si>
  <si>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</si>
  <si>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</si>
  <si>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</si>
  <si>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</si>
  <si>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</si>
  <si>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</si>
  <si>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</si>
  <si>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</si>
  <si>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</si>
  <si>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</si>
  <si>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</si>
  <si>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</si>
  <si>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</si>
  <si>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</si>
  <si>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</si>
  <si>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</si>
  <si>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</si>
  <si>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</si>
  <si>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</si>
  <si>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</si>
  <si>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</si>
  <si>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</si>
  <si>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</si>
  <si>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</si>
  <si>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</si>
  <si>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</si>
  <si>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</si>
  <si>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</si>
  <si>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</si>
  <si>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</si>
  <si>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</si>
  <si>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</si>
  <si>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</si>
  <si>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</si>
  <si>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</si>
  <si>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</si>
  <si>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</si>
  <si>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</si>
  <si>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</si>
  <si>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</si>
  <si>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</si>
  <si>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</si>
  <si>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</si>
  <si>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</si>
  <si>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</si>
  <si>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</si>
  <si>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</si>
  <si>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</si>
  <si>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</si>
  <si>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</si>
  <si>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</si>
  <si>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</si>
  <si>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</si>
  <si>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</si>
  <si>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</si>
  <si>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</si>
  <si>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</si>
  <si>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</si>
  <si>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</si>
  <si>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</si>
  <si>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</si>
  <si>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</si>
  <si>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</si>
  <si>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</si>
  <si>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</si>
  <si>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</si>
  <si>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</si>
  <si>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</si>
  <si>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</si>
  <si>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</si>
  <si>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</si>
  <si>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</si>
  <si>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</si>
  <si>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</si>
  <si>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</si>
  <si>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</si>
  <si>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</si>
  <si>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</si>
  <si>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</si>
  <si>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</si>
  <si>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</si>
  <si>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</si>
  <si>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</si>
  <si>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</si>
  <si>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</si>
  <si>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</si>
  <si>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</si>
  <si>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</si>
  <si>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</si>
  <si>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</si>
  <si>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</si>
  <si>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</si>
  <si>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</si>
  <si>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</si>
  <si>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</si>
  <si>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</si>
  <si>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</si>
  <si>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</si>
  <si>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</si>
  <si>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</si>
  <si>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</si>
  <si>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</si>
  <si>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</si>
  <si>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</si>
  <si>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</si>
  <si>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</si>
  <si>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</si>
  <si>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</si>
  <si>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</si>
  <si>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</si>
  <si>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</si>
  <si>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</si>
  <si>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</si>
  <si>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</si>
  <si>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</si>
  <si>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</si>
  <si>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</si>
  <si>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</si>
  <si>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</si>
  <si>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</si>
  <si>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</si>
  <si>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</si>
  <si>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</si>
  <si>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</si>
  <si>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</si>
  <si>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</si>
  <si>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</si>
  <si>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</si>
  <si>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</si>
  <si>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</si>
  <si>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</si>
  <si>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</si>
  <si>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</si>
  <si>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</si>
  <si>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</si>
  <si>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</si>
  <si>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</si>
  <si>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</si>
  <si>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</si>
  <si>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</si>
  <si>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</si>
  <si>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</si>
  <si>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</si>
  <si>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</si>
  <si>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</si>
  <si>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</si>
  <si>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</si>
  <si>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</si>
  <si>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</si>
  <si>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</si>
  <si>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</si>
  <si>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</si>
  <si>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</si>
  <si>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</si>
  <si>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</si>
  <si>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</si>
  <si>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</si>
  <si>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</si>
  <si>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</si>
  <si>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</si>
  <si>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</si>
  <si>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</si>
  <si>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</si>
  <si>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</si>
  <si>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</si>
  <si>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</si>
  <si>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</si>
  <si>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</si>
  <si>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</si>
  <si>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</si>
  <si>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</si>
  <si>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</si>
  <si>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</si>
  <si>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</si>
  <si>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</si>
  <si>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</si>
  <si>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</si>
  <si>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</si>
  <si>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</si>
  <si>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</si>
  <si>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</si>
  <si>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</si>
  <si>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</si>
  <si>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</si>
  <si>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</si>
  <si>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</si>
  <si>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</si>
  <si>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</si>
  <si>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</si>
  <si>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</si>
  <si>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</si>
  <si>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</si>
  <si>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</si>
  <si>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</si>
  <si>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</si>
  <si>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</si>
  <si>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</si>
  <si>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</si>
  <si>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</si>
  <si>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</si>
  <si>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</si>
  <si>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</si>
  <si>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</si>
  <si>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</si>
  <si>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</si>
  <si>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</si>
  <si>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</si>
  <si>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</si>
  <si>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</si>
  <si>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</si>
  <si>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</si>
  <si>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</si>
  <si>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</si>
  <si>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</si>
  <si>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</si>
  <si>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</si>
  <si>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</si>
  <si>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</si>
  <si>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</si>
  <si>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</si>
  <si>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</si>
  <si>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</si>
  <si>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</si>
  <si>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</si>
  <si>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</si>
  <si>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</si>
  <si>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</si>
  <si>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</si>
  <si>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</si>
  <si>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</si>
  <si>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</si>
  <si>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</si>
  <si>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</si>
  <si>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</si>
  <si>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</si>
  <si>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</si>
  <si>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</si>
  <si>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</si>
  <si>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</si>
  <si>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</si>
  <si>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</si>
  <si>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</si>
  <si>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</si>
  <si>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</si>
  <si>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</si>
  <si>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</si>
  <si>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</si>
  <si>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</si>
  <si>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</si>
  <si>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</si>
  <si>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</si>
  <si>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</si>
  <si>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</si>
  <si>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</si>
  <si>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</si>
  <si>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</si>
  <si>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</si>
  <si>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</si>
  <si>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</si>
  <si>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</si>
  <si>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</si>
  <si>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</si>
  <si>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</si>
  <si>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</si>
  <si>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</si>
  <si>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</si>
  <si>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</si>
  <si>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</si>
  <si>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</si>
  <si>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</si>
  <si>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</si>
  <si>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</si>
  <si>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</si>
  <si>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</si>
  <si>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</si>
  <si>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</si>
  <si>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</si>
  <si>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</si>
  <si>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</si>
  <si>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</si>
  <si>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</si>
  <si>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</si>
  <si>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</si>
  <si>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</si>
  <si>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</si>
  <si>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</si>
  <si>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</si>
  <si>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</si>
  <si>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</si>
  <si>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</si>
  <si>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</si>
  <si>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</si>
  <si>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</si>
  <si>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</si>
  <si>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</si>
  <si>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</si>
  <si>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</si>
  <si>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</si>
  <si>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</si>
  <si>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</si>
  <si>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</si>
  <si>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</si>
  <si>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</si>
  <si>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</si>
  <si>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</si>
  <si>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</si>
  <si>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</si>
  <si>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</si>
  <si>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</si>
  <si>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</si>
  <si>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</si>
  <si>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</si>
  <si>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</si>
  <si>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</si>
  <si>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</si>
  <si>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</si>
  <si>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</si>
  <si>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</si>
  <si>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</si>
  <si>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</si>
  <si>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</si>
  <si>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</si>
  <si>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</si>
  <si>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</si>
  <si>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</si>
  <si>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</si>
  <si>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</si>
  <si>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</si>
  <si>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</si>
  <si>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</si>
  <si>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</si>
  <si>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Pendiente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</si>
  <si>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</si>
  <si>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</si>
  <si>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</si>
  <si>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</si>
  <si>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</si>
  <si>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</si>
  <si>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</si>
  <si>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</si>
  <si>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</si>
  <si>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</si>
  <si>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</si>
  <si>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</si>
  <si>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</si>
  <si>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</si>
  <si>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</si>
  <si>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</si>
  <si>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</si>
  <si>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</si>
  <si>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</si>
  <si>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</si>
  <si>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</si>
  <si>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</si>
  <si>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</si>
  <si>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</si>
  <si>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</si>
  <si>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</si>
  <si>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</si>
  <si>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</si>
  <si>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</si>
  <si>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</si>
  <si>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</si>
  <si>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</si>
  <si>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</si>
  <si>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</si>
  <si>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</si>
  <si>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</si>
  <si>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</si>
  <si>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</si>
  <si>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</si>
  <si>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</si>
  <si>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</si>
  <si>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</si>
  <si>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</si>
  <si>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</si>
  <si>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</si>
  <si>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</si>
  <si>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</si>
  <si>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</si>
  <si>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</si>
  <si>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</si>
  <si>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</si>
  <si>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</si>
  <si>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</si>
  <si>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</si>
  <si>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</si>
  <si>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</si>
  <si>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</si>
  <si>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</si>
  <si>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</si>
  <si>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</si>
  <si>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</si>
  <si>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</si>
  <si>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</si>
  <si>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</si>
  <si>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</si>
  <si>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</si>
  <si>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</si>
  <si>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</si>
  <si>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</si>
  <si>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</si>
  <si>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</si>
  <si>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</si>
  <si>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</si>
  <si>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</si>
  <si>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</si>
  <si>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</si>
  <si>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</si>
  <si>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</si>
  <si>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</si>
  <si>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</si>
  <si>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</si>
  <si>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</si>
  <si>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</si>
  <si>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</si>
  <si>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</si>
  <si>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</si>
  <si>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</si>
  <si>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</si>
  <si>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</si>
  <si>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</si>
  <si>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</si>
  <si>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</si>
  <si>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</si>
  <si>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</si>
  <si>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</si>
  <si>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</si>
  <si>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</si>
  <si>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</si>
  <si>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</si>
  <si>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</si>
  <si>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</si>
  <si>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</si>
  <si>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</si>
  <si>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</si>
  <si>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</si>
  <si>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</si>
  <si>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</si>
  <si>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</si>
  <si>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</si>
  <si>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</si>
  <si>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</si>
  <si>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</si>
  <si>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</si>
  <si>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</si>
  <si>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</si>
  <si>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</si>
  <si>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</si>
  <si>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</si>
  <si>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</si>
  <si>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</si>
  <si>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</si>
  <si>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</si>
  <si>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</si>
  <si>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</si>
  <si>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</si>
  <si>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</si>
  <si>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</si>
  <si>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</si>
  <si>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</si>
  <si>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</si>
  <si>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</si>
  <si>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</si>
  <si>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</si>
  <si>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</si>
  <si>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</si>
  <si>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</si>
  <si>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</si>
  <si>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</si>
  <si>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</si>
  <si>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</si>
  <si>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</si>
  <si>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</si>
  <si>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</si>
  <si>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</si>
  <si>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</si>
  <si>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</si>
  <si>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</si>
  <si>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</si>
  <si>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</si>
  <si>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</si>
  <si>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</si>
  <si>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</si>
  <si>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</si>
  <si>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</si>
  <si>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</si>
  <si>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</si>
  <si>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 BELTRAN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</si>
  <si>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</si>
  <si>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</si>
  <si>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</si>
  <si>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</si>
  <si>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</si>
  <si>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</si>
  <si>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</si>
  <si>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</si>
  <si>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</si>
  <si>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</si>
  <si>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</si>
  <si>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</si>
  <si>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</si>
  <si>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</si>
  <si>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</si>
  <si>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</si>
  <si>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MILENA GONZALEZ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</si>
  <si>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</si>
  <si>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</si>
  <si>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</si>
  <si>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</si>
  <si>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Descartado por 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</si>
  <si>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</si>
  <si>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</si>
  <si>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</si>
  <si>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</si>
  <si>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</si>
  <si>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</si>
  <si>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</si>
  <si>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</si>
  <si>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</si>
  <si>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</si>
  <si>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</si>
  <si>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</si>
  <si>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</si>
  <si>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 Beltran</t>
  </si>
  <si>
    <t>omar.beltrannovoa@oxxo.com</t>
  </si>
  <si>
    <t>Fontibón la Cabaña</t>
  </si>
  <si>
    <t xml:space="preserve"> https://share.google/lYnJlkz6QEAOyEUjH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</si>
  <si>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</si>
  <si>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</si>
  <si>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</si>
  <si>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</si>
  <si>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</si>
  <si>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</si>
  <si>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</si>
  <si>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</si>
  <si>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</si>
  <si>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</si>
  <si>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</si>
  <si>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</si>
  <si>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</si>
  <si>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</si>
  <si>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</si>
  <si>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</si>
  <si>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</si>
  <si>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</si>
  <si>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</si>
  <si>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</si>
  <si>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</si>
  <si>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</si>
  <si>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</si>
  <si>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DANIEL RAMIREZ</t>
  </si>
  <si>
    <t>oscar.ramirez@oxxo.com</t>
  </si>
  <si>
    <t>Oxxo Venecia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</si>
  <si>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</si>
  <si>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</si>
  <si>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</si>
  <si>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</si>
  <si>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</si>
  <si>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</si>
  <si>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</si>
  <si>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</si>
  <si>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</si>
  <si>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</si>
  <si>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</si>
  <si>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</si>
  <si>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</si>
  <si>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</si>
  <si>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</si>
  <si>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</si>
  <si>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</si>
  <si>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</si>
  <si>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</si>
  <si>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</si>
  <si>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</si>
  <si>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</si>
  <si>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</si>
  <si>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</si>
  <si>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</si>
  <si>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</si>
  <si>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</si>
  <si>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</si>
  <si>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</si>
  <si>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</si>
  <si>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</si>
  <si>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</si>
  <si>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</si>
  <si>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</si>
  <si>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</si>
  <si>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</si>
  <si>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</si>
  <si>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</si>
  <si>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</si>
  <si>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</si>
  <si>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</si>
  <si>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</si>
  <si>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</si>
  <si>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</si>
  <si>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>Carrera 50</t>
  </si>
  <si>
    <t>Cr 50 18 a 15</t>
  </si>
  <si>
    <t>https://maps.app.goo.gl/TdvwVtmu8SPa2Ycw8?g_st=ac</t>
  </si>
  <si>
    <t>3507055002 Henry zapata</t>
  </si>
  <si>
    <t>Abogadohzf@gmail.com</t>
  </si>
  <si>
    <t>Foto: https://oxxo-colombia.oneapp.cl/static/img/Respuesta/63380340/dd79b6fe5bba15fc123c186fe236a1da.jpg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</si>
  <si>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</si>
  <si>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</si>
  <si>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</si>
  <si>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</si>
  <si>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</si>
  <si>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</si>
  <si>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</si>
  <si>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</si>
  <si>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</si>
  <si>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</si>
  <si>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</si>
  <si>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</si>
  <si>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</si>
  <si>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</si>
  <si>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</si>
  <si>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</si>
  <si>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</si>
  <si>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</si>
  <si>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</si>
  <si>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</si>
  <si>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</si>
  <si>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</si>
  <si>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</si>
  <si>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</si>
  <si>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</si>
  <si>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</si>
  <si>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</si>
  <si>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</si>
  <si>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</si>
  <si>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</si>
  <si>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</si>
  <si>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</si>
  <si>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</si>
  <si>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</si>
  <si>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</si>
  <si>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</si>
  <si>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</si>
  <si>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KATERIN DIAZ ZORRO</t>
  </si>
  <si>
    <t>9na Cedritos</t>
  </si>
  <si>
    <t>Cra 9 #145-84</t>
  </si>
  <si>
    <t>https://maps.app.goo.gl/sp3HP2ypsAHPXyC38</t>
  </si>
  <si>
    <t>Foto: https://oxxo-colombia.oneapp.cl/static/img/Respuesta/63397732/f30122521ce1f02acb830415f1166331.jpg</t>
  </si>
  <si>
    <t>Castellana carrera 30</t>
  </si>
  <si>
    <t>Avenida Carrera 30 # 86-47</t>
  </si>
  <si>
    <t>https://maps.app.goo.gl/aKT5LWKAwnsP}ZqCd7?g_st=ac</t>
  </si>
  <si>
    <t>No qplica</t>
  </si>
  <si>
    <t>Foto: https://oxxo-colombia.oneapp.cl/static/img/Respuesta/63400250/fe4023da6d233af07cc9ae77e06bbf53.jpg</t>
  </si>
  <si>
    <t>Luis Felipe Rodelo Bohorquez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</si>
  <si>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</si>
  <si>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</si>
  <si>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</si>
  <si>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</si>
  <si>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</si>
  <si>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</si>
  <si>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(Varios elementos)</t>
  </si>
  <si>
    <t>Etiquetas de fila</t>
  </si>
  <si>
    <t xml:space="preserve">Cuenta de Nombre del Punto </t>
  </si>
  <si>
    <t>Total general</t>
  </si>
  <si>
    <t>JOHN ALEJANDRO ALZATE ALZATE</t>
  </si>
  <si>
    <t>Puntos potenciales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</si>
  <si>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</si>
  <si>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</si>
  <si>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</si>
  <si>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</si>
  <si>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</si>
  <si>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</si>
  <si>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</si>
  <si>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</si>
  <si>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</si>
  <si>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</si>
  <si>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Meta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</si>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</sst>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4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0" fontId="0" fillId="40" borderId="0" xfId="0" applyFill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41" borderId="0" xfId="0" applyFill="1"/>
    <xf numFmtId="0" fontId="0" fillId="0" borderId="10" xfId="0" applyBorder="1" applyAlignment="1">
      <alignment horizontal="left"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4XVD4C94joAnoLQU8?g_st=aw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47" Type="http://schemas.openxmlformats.org/officeDocument/2006/relationships/hyperlink" Target="https://maps.app.goo.gl/iQjt8Ebm6H8CuvqJ8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6" Type="http://schemas.openxmlformats.org/officeDocument/2006/relationships/hyperlink" Target="https://maps.app.goo.gl/XKjbjeAS9omZeFTB7?g_st=iw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37" Type="http://schemas.openxmlformats.org/officeDocument/2006/relationships/hyperlink" Target="https://maps.app.goo.gl/EyCAWArR3m9TpYUx7?g_st=ac" TargetMode="External"/><Relationship Id="rId53" Type="http://schemas.openxmlformats.org/officeDocument/2006/relationships/hyperlink" Target="https://maps.app.goo.gl/p5zUjk4WGLsFS4F36?g_st=ac" TargetMode="External"/><Relationship Id="rId58" Type="http://schemas.openxmlformats.org/officeDocument/2006/relationships/hyperlink" Target="https://maps.app.goo.gl/JSyt4qJYuenXjgtm6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5" Type="http://schemas.openxmlformats.org/officeDocument/2006/relationships/hyperlink" Target="mailto:memito-palacio@hotmail.com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5" Type="http://schemas.openxmlformats.org/officeDocument/2006/relationships/hyperlink" Target="https://maps.app.goo.gl/UgKek3eZnzV3KFSy6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46" Type="http://schemas.openxmlformats.org/officeDocument/2006/relationships/hyperlink" Target="https://maps.app.goo.gl/PE1f4S4YcVUUo6e98?g_st=ac" TargetMode="External"/><Relationship Id="rId59" Type="http://schemas.openxmlformats.org/officeDocument/2006/relationships/hyperlink" Target="https://maps.app.goo.gl/Re2hX3yEGKe3qDFh6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54" Type="http://schemas.openxmlformats.org/officeDocument/2006/relationships/hyperlink" Target="https://maps.app.goo.gl/YkLLtdtkCjYSog6J7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5" Type="http://schemas.openxmlformats.org/officeDocument/2006/relationships/hyperlink" Target="https://maps.app.goo.gl/9rC2X5676JGMq3sp8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36" Type="http://schemas.openxmlformats.org/officeDocument/2006/relationships/hyperlink" Target="https://maps.app.goo.gl/hh9DqoKdf3dEj9zaA?g_st=ac" TargetMode="External"/><Relationship Id="rId49" Type="http://schemas.openxmlformats.org/officeDocument/2006/relationships/hyperlink" Target="https://maps.app.goo.gl/mPEriJi82CJKdctc8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44" Type="http://schemas.openxmlformats.org/officeDocument/2006/relationships/hyperlink" Target="https://maps.app.goo.gl/XQdTnYufh5YeLTcXA?g_st=ac" TargetMode="External"/><Relationship Id="rId52" Type="http://schemas.openxmlformats.org/officeDocument/2006/relationships/hyperlink" Target="https://maps.app.goo.gl/dmeiK9Y56iBqfb7k6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k1gwEEtxGUx6kpUJA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aKT5LWKAwnsP%7dZqCd7?g_st=ac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3" Type="http://schemas.openxmlformats.org/officeDocument/2006/relationships/hyperlink" Target="https://maps.app.goo.gl/cyi7f3fML7fKbAX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G101"/>
  <sheetViews>
    <sheetView showGridLines="0" tabSelected="1" topLeftCell="A93" zoomScale="61" zoomScaleNormal="61" workbookViewId="0">
      <pane xSplit="1" topLeftCell="U90" activePane="topRight" state="frozen"/>
      <selection pane="topRight" activeCell="V101" sqref="V101"/>
      <selection activeCell="A28" sqref="A28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25.5703125" bestFit="1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</cols>
  <sheetData>
    <row r="1" spans="1:33" ht="43.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21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"/>
      <c r="X1" s="2" t="s">
        <v>7</v>
      </c>
      <c r="Y1" s="2" t="s">
        <v>6</v>
      </c>
      <c r="Z1" s="2" t="s">
        <v>22</v>
      </c>
      <c r="AA1" s="2" t="s">
        <v>23</v>
      </c>
      <c r="AB1" s="2" t="s">
        <v>24</v>
      </c>
      <c r="AC1" s="2" t="s">
        <v>25</v>
      </c>
      <c r="AD1" s="2" t="s">
        <v>26</v>
      </c>
      <c r="AE1" s="2" t="s">
        <v>27</v>
      </c>
      <c r="AF1" s="2" t="s">
        <v>28</v>
      </c>
      <c r="AG1" s="2" t="s">
        <v>29</v>
      </c>
    </row>
    <row r="2" spans="1:33" ht="32.1" customHeight="1">
      <c r="A2" s="19">
        <v>3649249</v>
      </c>
      <c r="B2" s="16" t="s">
        <v>30</v>
      </c>
      <c r="C2" s="16" t="s">
        <v>31</v>
      </c>
      <c r="D2" s="16" t="s">
        <v>32</v>
      </c>
      <c r="E2" s="16" t="s">
        <v>32</v>
      </c>
      <c r="F2" s="16" t="s">
        <v>33</v>
      </c>
      <c r="G2" s="16">
        <v>2026</v>
      </c>
      <c r="H2" s="16" t="s">
        <v>34</v>
      </c>
      <c r="I2" s="16" t="s">
        <v>35</v>
      </c>
      <c r="J2" s="16" t="s">
        <v>36</v>
      </c>
      <c r="K2" s="16"/>
      <c r="L2" s="16" t="s">
        <v>37</v>
      </c>
      <c r="M2" s="16" t="s">
        <v>38</v>
      </c>
      <c r="N2" s="16" t="s">
        <v>39</v>
      </c>
      <c r="O2" s="16"/>
      <c r="P2" s="16" t="s">
        <v>40</v>
      </c>
      <c r="Q2" s="16" t="s">
        <v>41</v>
      </c>
      <c r="R2" s="16" t="s">
        <v>42</v>
      </c>
      <c r="S2" s="16" t="s">
        <v>43</v>
      </c>
      <c r="T2" s="16" t="s">
        <v>44</v>
      </c>
      <c r="U2" s="16">
        <v>3007751069</v>
      </c>
      <c r="V2" s="16" t="s">
        <v>45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1" si="3">_xlfn.CONCAT(W2,"-",Y2)</f>
        <v>29-2026</v>
      </c>
      <c r="AA2" t="s">
        <v>46</v>
      </c>
      <c r="AB2">
        <v>7.0706374277242299</v>
      </c>
      <c r="AC2">
        <v>-73.105528329117803</v>
      </c>
      <c r="AE2" t="s">
        <v>47</v>
      </c>
      <c r="AF2">
        <v>1</v>
      </c>
    </row>
    <row r="3" spans="1:33" ht="32.1" customHeight="1">
      <c r="A3" s="19">
        <v>3649288</v>
      </c>
      <c r="B3" s="16" t="s">
        <v>48</v>
      </c>
      <c r="C3" s="16" t="s">
        <v>49</v>
      </c>
      <c r="D3" s="16" t="s">
        <v>32</v>
      </c>
      <c r="E3" s="16" t="s">
        <v>32</v>
      </c>
      <c r="F3" s="16" t="s">
        <v>50</v>
      </c>
      <c r="G3" s="16">
        <v>2026</v>
      </c>
      <c r="H3" s="16" t="s">
        <v>34</v>
      </c>
      <c r="I3" s="16" t="s">
        <v>35</v>
      </c>
      <c r="J3" s="16" t="s">
        <v>51</v>
      </c>
      <c r="K3" s="16"/>
      <c r="L3" s="16" t="s">
        <v>52</v>
      </c>
      <c r="M3" s="16" t="s">
        <v>53</v>
      </c>
      <c r="N3" s="16" t="s">
        <v>54</v>
      </c>
      <c r="O3" s="16"/>
      <c r="P3" s="20" t="s">
        <v>55</v>
      </c>
      <c r="Q3" s="16" t="s">
        <v>41</v>
      </c>
      <c r="R3" s="16" t="s">
        <v>42</v>
      </c>
      <c r="S3" s="16" t="s">
        <v>43</v>
      </c>
      <c r="T3" s="16">
        <v>3103340792</v>
      </c>
      <c r="U3" s="16" t="s">
        <v>56</v>
      </c>
      <c r="V3" s="16" t="s">
        <v>57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46</v>
      </c>
      <c r="AB3">
        <v>4.7402539522694704</v>
      </c>
      <c r="AC3">
        <v>-74.047801728288505</v>
      </c>
      <c r="AE3" t="s">
        <v>47</v>
      </c>
      <c r="AF3">
        <v>1</v>
      </c>
    </row>
    <row r="4" spans="1:33" ht="32.1" customHeight="1">
      <c r="A4" s="19">
        <v>3649297</v>
      </c>
      <c r="B4" s="16" t="s">
        <v>48</v>
      </c>
      <c r="C4" s="16" t="s">
        <v>49</v>
      </c>
      <c r="D4" s="16" t="s">
        <v>32</v>
      </c>
      <c r="E4" s="16" t="s">
        <v>32</v>
      </c>
      <c r="F4" s="16" t="s">
        <v>58</v>
      </c>
      <c r="G4" s="16">
        <v>2026</v>
      </c>
      <c r="H4" s="16" t="s">
        <v>34</v>
      </c>
      <c r="I4" s="16" t="s">
        <v>35</v>
      </c>
      <c r="J4" s="16" t="s">
        <v>59</v>
      </c>
      <c r="K4" s="16"/>
      <c r="L4" s="16" t="s">
        <v>52</v>
      </c>
      <c r="M4" s="16" t="s">
        <v>53</v>
      </c>
      <c r="N4" s="16" t="s">
        <v>60</v>
      </c>
      <c r="O4" s="16"/>
      <c r="P4" s="20" t="s">
        <v>61</v>
      </c>
      <c r="Q4" s="16" t="s">
        <v>41</v>
      </c>
      <c r="R4" s="16" t="s">
        <v>42</v>
      </c>
      <c r="S4" s="16" t="s">
        <v>43</v>
      </c>
      <c r="T4" s="16">
        <v>3004550101</v>
      </c>
      <c r="U4" s="16" t="s">
        <v>62</v>
      </c>
      <c r="V4" s="16" t="s">
        <v>63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46</v>
      </c>
      <c r="AB4">
        <v>4.7487732422165099</v>
      </c>
      <c r="AC4">
        <v>-74.0441775661929</v>
      </c>
      <c r="AE4" t="s">
        <v>64</v>
      </c>
      <c r="AF4">
        <v>1</v>
      </c>
    </row>
    <row r="5" spans="1:33" ht="32.1" customHeight="1">
      <c r="A5" s="19">
        <v>3649449</v>
      </c>
      <c r="B5" s="16" t="s">
        <v>65</v>
      </c>
      <c r="C5" s="16" t="s">
        <v>66</v>
      </c>
      <c r="D5" s="16" t="s">
        <v>32</v>
      </c>
      <c r="E5" s="16" t="s">
        <v>32</v>
      </c>
      <c r="F5" s="16" t="s">
        <v>67</v>
      </c>
      <c r="G5" s="16">
        <v>2026</v>
      </c>
      <c r="H5" s="16" t="s">
        <v>34</v>
      </c>
      <c r="I5" s="16" t="s">
        <v>35</v>
      </c>
      <c r="J5" s="16" t="s">
        <v>68</v>
      </c>
      <c r="K5" s="16"/>
      <c r="L5" s="16" t="s">
        <v>69</v>
      </c>
      <c r="M5" s="16" t="s">
        <v>70</v>
      </c>
      <c r="N5" s="16" t="s">
        <v>71</v>
      </c>
      <c r="O5" s="16"/>
      <c r="P5" s="20" t="s">
        <v>72</v>
      </c>
      <c r="Q5" s="16" t="s">
        <v>73</v>
      </c>
      <c r="R5" s="16" t="s">
        <v>42</v>
      </c>
      <c r="S5" s="16" t="s">
        <v>43</v>
      </c>
      <c r="T5" s="16" t="s">
        <v>74</v>
      </c>
      <c r="U5" s="16" t="s">
        <v>75</v>
      </c>
      <c r="V5" s="16" t="s">
        <v>76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46</v>
      </c>
      <c r="AB5">
        <v>4.8148684273055098</v>
      </c>
      <c r="AC5">
        <v>-75.694004374277299</v>
      </c>
      <c r="AE5" t="s">
        <v>64</v>
      </c>
      <c r="AF5">
        <v>1</v>
      </c>
    </row>
    <row r="6" spans="1:33" ht="32.1" customHeight="1">
      <c r="A6" s="19">
        <v>3649582</v>
      </c>
      <c r="B6" s="16" t="s">
        <v>65</v>
      </c>
      <c r="C6" s="16" t="s">
        <v>66</v>
      </c>
      <c r="D6" s="16" t="s">
        <v>32</v>
      </c>
      <c r="E6" s="16" t="s">
        <v>32</v>
      </c>
      <c r="F6" s="16" t="s">
        <v>77</v>
      </c>
      <c r="G6" s="16">
        <v>2026</v>
      </c>
      <c r="H6" s="16" t="s">
        <v>34</v>
      </c>
      <c r="I6" s="16" t="s">
        <v>35</v>
      </c>
      <c r="J6" s="16" t="s">
        <v>78</v>
      </c>
      <c r="K6" s="16"/>
      <c r="L6" s="16" t="s">
        <v>69</v>
      </c>
      <c r="M6" s="16" t="s">
        <v>70</v>
      </c>
      <c r="N6" s="16" t="s">
        <v>79</v>
      </c>
      <c r="O6" s="16"/>
      <c r="P6" s="20" t="s">
        <v>80</v>
      </c>
      <c r="Q6" s="16" t="s">
        <v>41</v>
      </c>
      <c r="R6" s="16" t="s">
        <v>81</v>
      </c>
      <c r="S6" s="16" t="s">
        <v>82</v>
      </c>
      <c r="T6" s="16" t="s">
        <v>83</v>
      </c>
      <c r="U6" s="20" t="s">
        <v>84</v>
      </c>
      <c r="V6" s="16" t="s">
        <v>85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46</v>
      </c>
      <c r="AB6">
        <v>4.8134006544967303</v>
      </c>
      <c r="AC6">
        <v>-75.699304830684</v>
      </c>
      <c r="AE6" t="s">
        <v>64</v>
      </c>
      <c r="AF6">
        <v>1</v>
      </c>
    </row>
    <row r="7" spans="1:33" ht="32.1" customHeight="1">
      <c r="A7" s="19">
        <v>3649592</v>
      </c>
      <c r="B7" s="16" t="s">
        <v>86</v>
      </c>
      <c r="C7" s="16" t="s">
        <v>87</v>
      </c>
      <c r="D7" s="16" t="s">
        <v>32</v>
      </c>
      <c r="E7" s="16" t="s">
        <v>32</v>
      </c>
      <c r="F7" s="16" t="s">
        <v>88</v>
      </c>
      <c r="G7" s="16">
        <v>2026</v>
      </c>
      <c r="H7" s="16" t="s">
        <v>34</v>
      </c>
      <c r="I7" s="16" t="s">
        <v>35</v>
      </c>
      <c r="J7" s="16" t="s">
        <v>89</v>
      </c>
      <c r="K7" s="16"/>
      <c r="L7" s="16" t="s">
        <v>69</v>
      </c>
      <c r="M7" s="16" t="s">
        <v>70</v>
      </c>
      <c r="N7" s="16" t="s">
        <v>90</v>
      </c>
      <c r="O7" s="16"/>
      <c r="P7" s="20" t="s">
        <v>91</v>
      </c>
      <c r="Q7" s="16" t="s">
        <v>41</v>
      </c>
      <c r="R7" s="16" t="s">
        <v>42</v>
      </c>
      <c r="S7" s="16" t="s">
        <v>43</v>
      </c>
      <c r="T7" s="16">
        <v>3009121600</v>
      </c>
      <c r="U7" s="16" t="s">
        <v>92</v>
      </c>
      <c r="V7" s="16" t="s">
        <v>93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46</v>
      </c>
      <c r="AB7">
        <v>4.8082106455401501</v>
      </c>
      <c r="AC7">
        <v>-75.688230399999597</v>
      </c>
      <c r="AE7" t="s">
        <v>64</v>
      </c>
      <c r="AF7">
        <v>1</v>
      </c>
    </row>
    <row r="8" spans="1:33" ht="32.1" customHeight="1">
      <c r="A8" s="19">
        <v>3649609</v>
      </c>
      <c r="B8" s="16" t="s">
        <v>94</v>
      </c>
      <c r="C8" s="16" t="s">
        <v>95</v>
      </c>
      <c r="D8" s="16" t="s">
        <v>32</v>
      </c>
      <c r="E8" s="16" t="s">
        <v>32</v>
      </c>
      <c r="F8" s="16" t="s">
        <v>96</v>
      </c>
      <c r="G8" s="16">
        <v>2026</v>
      </c>
      <c r="H8" s="16" t="s">
        <v>34</v>
      </c>
      <c r="I8" s="16" t="s">
        <v>35</v>
      </c>
      <c r="J8" s="16" t="s">
        <v>97</v>
      </c>
      <c r="K8" s="16"/>
      <c r="L8" s="16" t="s">
        <v>52</v>
      </c>
      <c r="M8" s="16" t="s">
        <v>98</v>
      </c>
      <c r="N8" s="16" t="s">
        <v>99</v>
      </c>
      <c r="O8" s="16"/>
      <c r="P8" s="20" t="s">
        <v>100</v>
      </c>
      <c r="Q8" s="16" t="s">
        <v>73</v>
      </c>
      <c r="R8" s="16" t="s">
        <v>42</v>
      </c>
      <c r="S8" s="16" t="s">
        <v>101</v>
      </c>
      <c r="T8" s="16">
        <v>3104257782</v>
      </c>
      <c r="U8" s="16" t="s">
        <v>102</v>
      </c>
      <c r="V8" s="16" t="s">
        <v>103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46</v>
      </c>
      <c r="AB8">
        <v>5.0009072881179204</v>
      </c>
      <c r="AC8">
        <v>-73.999167262091305</v>
      </c>
      <c r="AE8" t="s">
        <v>104</v>
      </c>
      <c r="AF8">
        <v>1</v>
      </c>
    </row>
    <row r="9" spans="1:33" ht="32.1" customHeight="1">
      <c r="A9" s="19">
        <v>3652749</v>
      </c>
      <c r="B9" s="16" t="s">
        <v>105</v>
      </c>
      <c r="C9" s="16" t="s">
        <v>106</v>
      </c>
      <c r="D9" s="16" t="s">
        <v>107</v>
      </c>
      <c r="E9" s="16" t="s">
        <v>107</v>
      </c>
      <c r="F9" s="16" t="s">
        <v>108</v>
      </c>
      <c r="G9" s="16">
        <v>2026</v>
      </c>
      <c r="H9" s="16" t="s">
        <v>34</v>
      </c>
      <c r="I9" s="16" t="s">
        <v>35</v>
      </c>
      <c r="J9" s="16" t="s">
        <v>109</v>
      </c>
      <c r="K9" s="16" t="s">
        <v>110</v>
      </c>
      <c r="L9" s="16" t="s">
        <v>52</v>
      </c>
      <c r="M9" s="16" t="s">
        <v>53</v>
      </c>
      <c r="N9" s="16" t="s">
        <v>111</v>
      </c>
      <c r="O9" s="16"/>
      <c r="P9" s="20" t="s">
        <v>112</v>
      </c>
      <c r="Q9" s="16" t="s">
        <v>73</v>
      </c>
      <c r="R9" s="16" t="s">
        <v>42</v>
      </c>
      <c r="S9" s="16" t="s">
        <v>43</v>
      </c>
      <c r="T9" s="16">
        <v>3112914286</v>
      </c>
      <c r="U9" s="16" t="s">
        <v>113</v>
      </c>
      <c r="V9" s="16" t="s">
        <v>114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46</v>
      </c>
      <c r="AB9">
        <v>4.63943295015559</v>
      </c>
      <c r="AC9">
        <v>-74.065112728285797</v>
      </c>
      <c r="AE9" t="s">
        <v>64</v>
      </c>
      <c r="AF9">
        <v>1</v>
      </c>
    </row>
    <row r="10" spans="1:33" ht="32.1" customHeight="1">
      <c r="A10" s="19">
        <v>3652752</v>
      </c>
      <c r="B10" s="16" t="s">
        <v>105</v>
      </c>
      <c r="C10" s="16" t="s">
        <v>106</v>
      </c>
      <c r="D10" s="16" t="s">
        <v>107</v>
      </c>
      <c r="E10" s="16" t="s">
        <v>107</v>
      </c>
      <c r="F10" s="16" t="s">
        <v>115</v>
      </c>
      <c r="G10" s="16">
        <v>2026</v>
      </c>
      <c r="H10" s="16" t="s">
        <v>34</v>
      </c>
      <c r="I10" s="16" t="s">
        <v>35</v>
      </c>
      <c r="J10" s="16" t="s">
        <v>116</v>
      </c>
      <c r="K10" s="16" t="s">
        <v>117</v>
      </c>
      <c r="L10" s="16" t="s">
        <v>52</v>
      </c>
      <c r="M10" s="16" t="s">
        <v>53</v>
      </c>
      <c r="N10" s="16" t="s">
        <v>118</v>
      </c>
      <c r="O10" s="16"/>
      <c r="P10" s="20" t="s">
        <v>119</v>
      </c>
      <c r="Q10" s="16" t="s">
        <v>73</v>
      </c>
      <c r="R10" s="16" t="s">
        <v>81</v>
      </c>
      <c r="S10" s="16" t="s">
        <v>43</v>
      </c>
      <c r="T10" s="16">
        <v>3112034494</v>
      </c>
      <c r="U10" s="16" t="s">
        <v>113</v>
      </c>
      <c r="V10" s="16" t="s">
        <v>120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46</v>
      </c>
      <c r="AB10">
        <v>4.7013211899417797</v>
      </c>
      <c r="AC10">
        <v>-74.047880000000305</v>
      </c>
      <c r="AE10" t="s">
        <v>47</v>
      </c>
      <c r="AF10">
        <v>1</v>
      </c>
    </row>
    <row r="11" spans="1:33" ht="32.1" customHeight="1">
      <c r="A11" s="19">
        <v>3652756</v>
      </c>
      <c r="B11" s="16" t="s">
        <v>105</v>
      </c>
      <c r="C11" s="16" t="s">
        <v>106</v>
      </c>
      <c r="D11" s="16" t="s">
        <v>107</v>
      </c>
      <c r="E11" s="16" t="s">
        <v>107</v>
      </c>
      <c r="F11" s="16" t="s">
        <v>121</v>
      </c>
      <c r="G11" s="16">
        <v>2026</v>
      </c>
      <c r="H11" s="16" t="s">
        <v>34</v>
      </c>
      <c r="I11" s="16" t="s">
        <v>35</v>
      </c>
      <c r="J11" s="16" t="s">
        <v>122</v>
      </c>
      <c r="K11" s="16" t="s">
        <v>123</v>
      </c>
      <c r="L11" s="16" t="s">
        <v>52</v>
      </c>
      <c r="M11" s="16" t="s">
        <v>53</v>
      </c>
      <c r="N11" s="16" t="s">
        <v>124</v>
      </c>
      <c r="O11" s="16"/>
      <c r="P11" s="20" t="s">
        <v>125</v>
      </c>
      <c r="Q11" s="16" t="s">
        <v>73</v>
      </c>
      <c r="R11" s="16" t="s">
        <v>81</v>
      </c>
      <c r="S11" s="16" t="s">
        <v>43</v>
      </c>
      <c r="T11" s="16">
        <v>3114910947</v>
      </c>
      <c r="U11" s="16" t="s">
        <v>126</v>
      </c>
      <c r="V11" s="16" t="s">
        <v>127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46</v>
      </c>
      <c r="AB11">
        <v>4.6983514463927198</v>
      </c>
      <c r="AC11">
        <v>-74.043404099997403</v>
      </c>
      <c r="AE11" t="s">
        <v>47</v>
      </c>
      <c r="AF11">
        <v>1</v>
      </c>
    </row>
    <row r="12" spans="1:33" ht="32.1" customHeight="1">
      <c r="A12" s="19">
        <v>3652790</v>
      </c>
      <c r="B12" s="16" t="s">
        <v>128</v>
      </c>
      <c r="C12" s="16" t="s">
        <v>129</v>
      </c>
      <c r="D12" s="16" t="s">
        <v>107</v>
      </c>
      <c r="E12" s="16" t="s">
        <v>107</v>
      </c>
      <c r="F12" s="16" t="s">
        <v>130</v>
      </c>
      <c r="G12" s="16">
        <v>2026</v>
      </c>
      <c r="H12" s="16" t="s">
        <v>34</v>
      </c>
      <c r="I12" s="16" t="s">
        <v>35</v>
      </c>
      <c r="J12" s="16" t="s">
        <v>131</v>
      </c>
      <c r="K12" s="16"/>
      <c r="L12" s="16" t="s">
        <v>52</v>
      </c>
      <c r="M12" s="16" t="s">
        <v>53</v>
      </c>
      <c r="N12" s="16" t="s">
        <v>132</v>
      </c>
      <c r="O12" s="16"/>
      <c r="P12" s="20" t="s">
        <v>133</v>
      </c>
      <c r="Q12" s="16" t="s">
        <v>134</v>
      </c>
      <c r="R12" s="16" t="s">
        <v>42</v>
      </c>
      <c r="S12" s="16" t="s">
        <v>135</v>
      </c>
      <c r="T12" s="16">
        <v>3102521005</v>
      </c>
      <c r="U12" s="16" t="s">
        <v>136</v>
      </c>
      <c r="V12" s="16" t="s">
        <v>137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46</v>
      </c>
      <c r="AB12">
        <v>4.5608458575304303</v>
      </c>
      <c r="AC12">
        <v>-74.126013736619299</v>
      </c>
      <c r="AE12" t="s">
        <v>64</v>
      </c>
      <c r="AF12">
        <v>1</v>
      </c>
    </row>
    <row r="13" spans="1:33" ht="32.1" customHeight="1">
      <c r="A13" s="19">
        <v>3652807</v>
      </c>
      <c r="B13" s="16" t="s">
        <v>105</v>
      </c>
      <c r="C13" s="16" t="s">
        <v>106</v>
      </c>
      <c r="D13" s="16" t="s">
        <v>107</v>
      </c>
      <c r="E13" s="16" t="s">
        <v>107</v>
      </c>
      <c r="F13" s="16" t="s">
        <v>138</v>
      </c>
      <c r="G13" s="16">
        <v>2026</v>
      </c>
      <c r="H13" s="16" t="s">
        <v>34</v>
      </c>
      <c r="I13" s="16" t="s">
        <v>35</v>
      </c>
      <c r="J13" s="16" t="s">
        <v>139</v>
      </c>
      <c r="K13" s="16"/>
      <c r="L13" s="16" t="s">
        <v>52</v>
      </c>
      <c r="M13" s="16" t="s">
        <v>53</v>
      </c>
      <c r="N13" s="16" t="s">
        <v>140</v>
      </c>
      <c r="O13" s="16"/>
      <c r="P13" s="20" t="s">
        <v>141</v>
      </c>
      <c r="Q13" s="16" t="s">
        <v>73</v>
      </c>
      <c r="R13" s="16" t="s">
        <v>81</v>
      </c>
      <c r="S13" s="16" t="s">
        <v>43</v>
      </c>
      <c r="T13" s="16" t="s">
        <v>142</v>
      </c>
      <c r="U13" s="16" t="s">
        <v>113</v>
      </c>
      <c r="V13" s="16" t="s">
        <v>143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46</v>
      </c>
      <c r="AB13">
        <v>4.6970167212173299</v>
      </c>
      <c r="AC13">
        <v>-74.044096808662403</v>
      </c>
      <c r="AE13" t="s">
        <v>47</v>
      </c>
      <c r="AF13">
        <v>1</v>
      </c>
    </row>
    <row r="14" spans="1:33" ht="32.1" customHeight="1">
      <c r="A14" s="19">
        <v>3652812</v>
      </c>
      <c r="B14" s="16" t="s">
        <v>105</v>
      </c>
      <c r="C14" s="16" t="s">
        <v>106</v>
      </c>
      <c r="D14" s="16" t="s">
        <v>107</v>
      </c>
      <c r="E14" s="16" t="s">
        <v>107</v>
      </c>
      <c r="F14" s="16" t="s">
        <v>144</v>
      </c>
      <c r="G14" s="16">
        <v>2026</v>
      </c>
      <c r="H14" s="16" t="s">
        <v>34</v>
      </c>
      <c r="I14" s="16" t="s">
        <v>35</v>
      </c>
      <c r="J14" s="16" t="s">
        <v>145</v>
      </c>
      <c r="K14" s="16"/>
      <c r="L14" s="16" t="s">
        <v>52</v>
      </c>
      <c r="M14" s="16" t="s">
        <v>53</v>
      </c>
      <c r="N14" s="16" t="s">
        <v>146</v>
      </c>
      <c r="O14" s="16"/>
      <c r="P14" s="20" t="s">
        <v>147</v>
      </c>
      <c r="Q14" s="16" t="s">
        <v>73</v>
      </c>
      <c r="R14" s="16" t="s">
        <v>81</v>
      </c>
      <c r="S14" s="16" t="s">
        <v>43</v>
      </c>
      <c r="T14" s="16">
        <v>3105722683</v>
      </c>
      <c r="U14" s="16" t="s">
        <v>148</v>
      </c>
      <c r="V14" s="20" t="s">
        <v>149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46</v>
      </c>
      <c r="AB14">
        <v>4.6976472368839497</v>
      </c>
      <c r="AC14">
        <v>-74.045903241507105</v>
      </c>
      <c r="AE14" t="s">
        <v>47</v>
      </c>
      <c r="AF14">
        <v>1</v>
      </c>
    </row>
    <row r="15" spans="1:33" ht="32.1" customHeight="1">
      <c r="A15" s="19">
        <v>3652852</v>
      </c>
      <c r="B15" s="16" t="s">
        <v>150</v>
      </c>
      <c r="C15" s="16" t="s">
        <v>151</v>
      </c>
      <c r="D15" s="16" t="s">
        <v>107</v>
      </c>
      <c r="E15" s="16" t="s">
        <v>107</v>
      </c>
      <c r="F15" s="16" t="s">
        <v>152</v>
      </c>
      <c r="G15" s="16">
        <v>2026</v>
      </c>
      <c r="H15" s="16" t="s">
        <v>34</v>
      </c>
      <c r="I15" s="16" t="s">
        <v>35</v>
      </c>
      <c r="J15" s="16" t="s">
        <v>153</v>
      </c>
      <c r="K15" s="16"/>
      <c r="L15" s="16" t="s">
        <v>52</v>
      </c>
      <c r="M15" s="16" t="s">
        <v>154</v>
      </c>
      <c r="N15" s="16" t="s">
        <v>155</v>
      </c>
      <c r="O15" s="16"/>
      <c r="P15" s="20" t="s">
        <v>156</v>
      </c>
      <c r="Q15" s="16" t="s">
        <v>73</v>
      </c>
      <c r="R15" s="16" t="s">
        <v>42</v>
      </c>
      <c r="S15" s="16" t="s">
        <v>43</v>
      </c>
      <c r="T15" s="16" t="s">
        <v>157</v>
      </c>
      <c r="U15" s="16">
        <v>3002661196</v>
      </c>
      <c r="V15" s="16" t="s">
        <v>158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46</v>
      </c>
      <c r="AB15">
        <v>4.3265115472693196</v>
      </c>
      <c r="AC15">
        <v>-74.396469270556196</v>
      </c>
      <c r="AE15" t="s">
        <v>64</v>
      </c>
      <c r="AF15">
        <v>1</v>
      </c>
    </row>
    <row r="16" spans="1:33" ht="32.1" customHeight="1">
      <c r="A16" s="19">
        <v>3652942</v>
      </c>
      <c r="B16" s="16" t="s">
        <v>159</v>
      </c>
      <c r="C16" s="16" t="s">
        <v>160</v>
      </c>
      <c r="D16" s="16" t="s">
        <v>107</v>
      </c>
      <c r="E16" s="16" t="s">
        <v>107</v>
      </c>
      <c r="F16" s="16" t="s">
        <v>161</v>
      </c>
      <c r="G16" s="16">
        <v>2026</v>
      </c>
      <c r="H16" s="16" t="s">
        <v>34</v>
      </c>
      <c r="I16" s="16" t="s">
        <v>35</v>
      </c>
      <c r="J16" s="16" t="s">
        <v>162</v>
      </c>
      <c r="K16" s="16"/>
      <c r="L16" s="16" t="s">
        <v>52</v>
      </c>
      <c r="M16" s="16" t="s">
        <v>53</v>
      </c>
      <c r="N16" s="16" t="s">
        <v>163</v>
      </c>
      <c r="O16" s="16"/>
      <c r="P16" s="20" t="s">
        <v>164</v>
      </c>
      <c r="Q16" s="16" t="s">
        <v>41</v>
      </c>
      <c r="R16" s="16" t="s">
        <v>81</v>
      </c>
      <c r="S16" s="16" t="s">
        <v>43</v>
      </c>
      <c r="T16" s="16">
        <v>3112914286</v>
      </c>
      <c r="U16" s="16" t="s">
        <v>165</v>
      </c>
      <c r="V16" s="16" t="s">
        <v>166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167</v>
      </c>
      <c r="AE16" t="s">
        <v>47</v>
      </c>
      <c r="AF16">
        <v>1</v>
      </c>
    </row>
    <row r="17" spans="1:32" ht="32.1" customHeight="1">
      <c r="A17" s="19">
        <v>3652948</v>
      </c>
      <c r="B17" s="16" t="s">
        <v>168</v>
      </c>
      <c r="C17" s="16" t="s">
        <v>169</v>
      </c>
      <c r="D17" s="16" t="s">
        <v>107</v>
      </c>
      <c r="E17" s="16" t="s">
        <v>107</v>
      </c>
      <c r="F17" s="16" t="s">
        <v>170</v>
      </c>
      <c r="G17" s="16">
        <v>2026</v>
      </c>
      <c r="H17" s="16" t="s">
        <v>34</v>
      </c>
      <c r="I17" s="16" t="s">
        <v>35</v>
      </c>
      <c r="J17" s="16" t="s">
        <v>171</v>
      </c>
      <c r="K17" s="16"/>
      <c r="L17" s="16" t="s">
        <v>52</v>
      </c>
      <c r="M17" s="16" t="s">
        <v>154</v>
      </c>
      <c r="N17" s="16" t="s">
        <v>172</v>
      </c>
      <c r="O17" s="16"/>
      <c r="P17" s="20" t="s">
        <v>173</v>
      </c>
      <c r="Q17" s="16" t="s">
        <v>73</v>
      </c>
      <c r="R17" s="16" t="s">
        <v>81</v>
      </c>
      <c r="S17" s="16" t="s">
        <v>43</v>
      </c>
      <c r="T17" s="16">
        <v>3105652759</v>
      </c>
      <c r="U17" s="16" t="s">
        <v>174</v>
      </c>
      <c r="V17" s="16" t="s">
        <v>175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46</v>
      </c>
      <c r="AB17">
        <v>4.8180466816630698</v>
      </c>
      <c r="AC17">
        <v>-74.358422879050096</v>
      </c>
      <c r="AE17" t="s">
        <v>64</v>
      </c>
      <c r="AF17">
        <v>1</v>
      </c>
    </row>
    <row r="18" spans="1:32" ht="32.1" customHeight="1">
      <c r="A18" s="19">
        <v>3652991</v>
      </c>
      <c r="B18" s="16" t="s">
        <v>168</v>
      </c>
      <c r="C18" s="16" t="s">
        <v>169</v>
      </c>
      <c r="D18" s="16" t="s">
        <v>107</v>
      </c>
      <c r="E18" s="16" t="s">
        <v>107</v>
      </c>
      <c r="F18" s="16" t="s">
        <v>176</v>
      </c>
      <c r="G18" s="16">
        <v>2026</v>
      </c>
      <c r="H18" s="16" t="s">
        <v>34</v>
      </c>
      <c r="I18" s="16" t="s">
        <v>35</v>
      </c>
      <c r="J18" s="16" t="s">
        <v>177</v>
      </c>
      <c r="K18" s="16" t="s">
        <v>178</v>
      </c>
      <c r="L18" s="16" t="s">
        <v>52</v>
      </c>
      <c r="M18" s="16" t="s">
        <v>154</v>
      </c>
      <c r="N18" s="16" t="s">
        <v>179</v>
      </c>
      <c r="O18" s="16"/>
      <c r="P18" s="20" t="s">
        <v>180</v>
      </c>
      <c r="Q18" s="16" t="s">
        <v>41</v>
      </c>
      <c r="R18" s="16" t="s">
        <v>42</v>
      </c>
      <c r="S18" s="16" t="s">
        <v>82</v>
      </c>
      <c r="T18" s="16">
        <v>3115576168</v>
      </c>
      <c r="U18" s="16" t="s">
        <v>174</v>
      </c>
      <c r="V18" s="16" t="s">
        <v>181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46</v>
      </c>
      <c r="AB18">
        <v>4.8077699537529099</v>
      </c>
      <c r="AC18">
        <v>-74.3498237283534</v>
      </c>
      <c r="AE18" t="s">
        <v>64</v>
      </c>
      <c r="AF18">
        <v>1</v>
      </c>
    </row>
    <row r="19" spans="1:32" ht="32.1" customHeight="1">
      <c r="A19" s="19">
        <v>3653000</v>
      </c>
      <c r="B19" s="16" t="s">
        <v>182</v>
      </c>
      <c r="C19" s="16" t="s">
        <v>183</v>
      </c>
      <c r="D19" s="16" t="s">
        <v>107</v>
      </c>
      <c r="E19" s="16" t="s">
        <v>107</v>
      </c>
      <c r="F19" s="16" t="s">
        <v>184</v>
      </c>
      <c r="G19" s="16">
        <v>2026</v>
      </c>
      <c r="H19" s="16" t="s">
        <v>34</v>
      </c>
      <c r="I19" s="16" t="s">
        <v>35</v>
      </c>
      <c r="J19" s="16" t="s">
        <v>185</v>
      </c>
      <c r="K19" s="16" t="s">
        <v>186</v>
      </c>
      <c r="L19" s="16" t="s">
        <v>52</v>
      </c>
      <c r="M19" s="16" t="s">
        <v>53</v>
      </c>
      <c r="N19" s="16" t="s">
        <v>187</v>
      </c>
      <c r="O19" s="16"/>
      <c r="P19" s="20" t="s">
        <v>188</v>
      </c>
      <c r="Q19" s="16" t="s">
        <v>73</v>
      </c>
      <c r="R19" s="16" t="s">
        <v>42</v>
      </c>
      <c r="S19" s="16" t="s">
        <v>43</v>
      </c>
      <c r="T19" s="16" t="s">
        <v>189</v>
      </c>
      <c r="U19" s="16" t="s">
        <v>190</v>
      </c>
      <c r="V19" s="16" t="s">
        <v>191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46</v>
      </c>
      <c r="AB19">
        <v>4.6289799591781398</v>
      </c>
      <c r="AC19">
        <v>-74.114922000028599</v>
      </c>
      <c r="AE19" t="s">
        <v>64</v>
      </c>
      <c r="AF19">
        <v>1</v>
      </c>
    </row>
    <row r="20" spans="1:32" ht="32.1" customHeight="1">
      <c r="A20" s="16">
        <v>3653008</v>
      </c>
      <c r="B20" s="16" t="s">
        <v>168</v>
      </c>
      <c r="C20" s="16" t="s">
        <v>169</v>
      </c>
      <c r="D20" s="16" t="s">
        <v>107</v>
      </c>
      <c r="E20" s="16" t="s">
        <v>107</v>
      </c>
      <c r="F20" s="16" t="s">
        <v>192</v>
      </c>
      <c r="G20" s="16">
        <v>2026</v>
      </c>
      <c r="H20" s="16" t="s">
        <v>34</v>
      </c>
      <c r="I20" s="16" t="s">
        <v>35</v>
      </c>
      <c r="J20" s="16" t="s">
        <v>193</v>
      </c>
      <c r="K20" s="16"/>
      <c r="L20" s="16" t="s">
        <v>52</v>
      </c>
      <c r="M20" s="16" t="s">
        <v>154</v>
      </c>
      <c r="N20" s="16" t="s">
        <v>194</v>
      </c>
      <c r="O20" s="16"/>
      <c r="P20" s="20" t="s">
        <v>195</v>
      </c>
      <c r="Q20" s="16" t="s">
        <v>41</v>
      </c>
      <c r="R20" s="16" t="s">
        <v>81</v>
      </c>
      <c r="S20" s="16" t="s">
        <v>135</v>
      </c>
      <c r="T20" s="16" t="s">
        <v>196</v>
      </c>
      <c r="U20" s="16" t="s">
        <v>174</v>
      </c>
      <c r="V20" s="16" t="s">
        <v>197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46</v>
      </c>
      <c r="AB20">
        <v>4.8101169010620399</v>
      </c>
      <c r="AC20">
        <v>-74.350224000008893</v>
      </c>
      <c r="AE20" t="s">
        <v>64</v>
      </c>
      <c r="AF20">
        <v>1</v>
      </c>
    </row>
    <row r="21" spans="1:32" ht="32.1" customHeight="1">
      <c r="A21" s="16">
        <v>3653140</v>
      </c>
      <c r="B21" s="16" t="s">
        <v>159</v>
      </c>
      <c r="C21" s="16" t="s">
        <v>160</v>
      </c>
      <c r="D21" s="16" t="s">
        <v>107</v>
      </c>
      <c r="E21" s="16" t="s">
        <v>107</v>
      </c>
      <c r="F21" s="16" t="s">
        <v>198</v>
      </c>
      <c r="G21" s="16">
        <v>2026</v>
      </c>
      <c r="H21" s="16" t="s">
        <v>34</v>
      </c>
      <c r="I21" s="16" t="s">
        <v>35</v>
      </c>
      <c r="J21" s="16" t="s">
        <v>199</v>
      </c>
      <c r="K21" s="16"/>
      <c r="L21" s="16" t="s">
        <v>52</v>
      </c>
      <c r="M21" s="16" t="s">
        <v>53</v>
      </c>
      <c r="N21" s="16" t="s">
        <v>200</v>
      </c>
      <c r="O21" s="16"/>
      <c r="P21" s="20" t="s">
        <v>201</v>
      </c>
      <c r="Q21" s="16" t="s">
        <v>41</v>
      </c>
      <c r="R21" s="16" t="s">
        <v>42</v>
      </c>
      <c r="S21" s="16" t="s">
        <v>135</v>
      </c>
      <c r="T21" s="16">
        <v>3142406629</v>
      </c>
      <c r="U21" s="16" t="s">
        <v>174</v>
      </c>
      <c r="V21" s="16" t="s">
        <v>202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46</v>
      </c>
      <c r="AB21">
        <v>4.6710371533935504</v>
      </c>
      <c r="AC21">
        <v>-74.106393869313095</v>
      </c>
      <c r="AE21" t="s">
        <v>47</v>
      </c>
      <c r="AF21">
        <v>1</v>
      </c>
    </row>
    <row r="22" spans="1:32" ht="32.1" customHeight="1">
      <c r="A22" s="16">
        <v>3653143</v>
      </c>
      <c r="B22" s="16" t="s">
        <v>203</v>
      </c>
      <c r="C22" s="16" t="s">
        <v>204</v>
      </c>
      <c r="D22" s="16" t="s">
        <v>107</v>
      </c>
      <c r="E22" s="16" t="s">
        <v>107</v>
      </c>
      <c r="F22" s="16" t="s">
        <v>205</v>
      </c>
      <c r="G22" s="16">
        <v>2026</v>
      </c>
      <c r="H22" s="16" t="s">
        <v>34</v>
      </c>
      <c r="I22" s="16" t="s">
        <v>35</v>
      </c>
      <c r="J22" s="16" t="s">
        <v>206</v>
      </c>
      <c r="K22" s="16"/>
      <c r="L22" s="16" t="s">
        <v>52</v>
      </c>
      <c r="M22" s="16" t="s">
        <v>53</v>
      </c>
      <c r="N22" s="16" t="s">
        <v>207</v>
      </c>
      <c r="O22" s="16"/>
      <c r="P22" s="20" t="s">
        <v>208</v>
      </c>
      <c r="Q22" s="16" t="s">
        <v>41</v>
      </c>
      <c r="R22" s="16" t="s">
        <v>81</v>
      </c>
      <c r="S22" s="16" t="s">
        <v>43</v>
      </c>
      <c r="T22" s="16">
        <v>3114910947</v>
      </c>
      <c r="U22" s="16" t="s">
        <v>209</v>
      </c>
      <c r="V22" s="16" t="s">
        <v>210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46</v>
      </c>
      <c r="AB22">
        <v>4.6983253464068202</v>
      </c>
      <c r="AC22">
        <v>-74.0433192000106</v>
      </c>
      <c r="AE22" t="s">
        <v>47</v>
      </c>
      <c r="AF22">
        <v>1</v>
      </c>
    </row>
    <row r="23" spans="1:32" ht="32.1" customHeight="1">
      <c r="A23" s="16">
        <v>3653092</v>
      </c>
      <c r="B23" s="16" t="s">
        <v>211</v>
      </c>
      <c r="C23" s="16" t="s">
        <v>212</v>
      </c>
      <c r="D23" s="16" t="s">
        <v>107</v>
      </c>
      <c r="E23" s="16" t="s">
        <v>107</v>
      </c>
      <c r="F23" s="16" t="s">
        <v>213</v>
      </c>
      <c r="G23" s="16">
        <v>2026</v>
      </c>
      <c r="H23" s="16" t="s">
        <v>34</v>
      </c>
      <c r="I23" s="16" t="s">
        <v>35</v>
      </c>
      <c r="J23" s="16" t="s">
        <v>214</v>
      </c>
      <c r="K23" s="16"/>
      <c r="L23" s="16" t="s">
        <v>52</v>
      </c>
      <c r="M23" s="16" t="s">
        <v>154</v>
      </c>
      <c r="N23" s="16" t="s">
        <v>215</v>
      </c>
      <c r="O23" s="16"/>
      <c r="P23" s="20" t="s">
        <v>216</v>
      </c>
      <c r="Q23" s="16" t="s">
        <v>134</v>
      </c>
      <c r="R23" s="16" t="s">
        <v>81</v>
      </c>
      <c r="S23" s="16" t="s">
        <v>135</v>
      </c>
      <c r="T23" s="16">
        <v>3506549064</v>
      </c>
      <c r="U23" s="16">
        <v>3506549064</v>
      </c>
      <c r="V23" s="16" t="s">
        <v>217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46</v>
      </c>
      <c r="AB23">
        <v>4.6214150772067697</v>
      </c>
      <c r="AC23">
        <v>-74.068016700000101</v>
      </c>
      <c r="AE23" t="s">
        <v>64</v>
      </c>
      <c r="AF23">
        <v>1</v>
      </c>
    </row>
    <row r="24" spans="1:32" ht="32.1" customHeight="1">
      <c r="A24" s="16">
        <v>3656243</v>
      </c>
      <c r="B24" s="16" t="s">
        <v>150</v>
      </c>
      <c r="C24" s="16" t="s">
        <v>151</v>
      </c>
      <c r="D24" s="16" t="s">
        <v>218</v>
      </c>
      <c r="E24" s="16" t="s">
        <v>218</v>
      </c>
      <c r="F24" s="16" t="s">
        <v>219</v>
      </c>
      <c r="G24" s="16">
        <v>2026</v>
      </c>
      <c r="H24" s="16" t="s">
        <v>34</v>
      </c>
      <c r="I24" s="16" t="s">
        <v>35</v>
      </c>
      <c r="J24" s="16" t="s">
        <v>220</v>
      </c>
      <c r="K24" s="16"/>
      <c r="L24" s="16" t="s">
        <v>52</v>
      </c>
      <c r="M24" s="16" t="s">
        <v>154</v>
      </c>
      <c r="N24" s="16" t="s">
        <v>221</v>
      </c>
      <c r="O24" s="16"/>
      <c r="P24" s="20" t="s">
        <v>222</v>
      </c>
      <c r="Q24" s="16" t="s">
        <v>41</v>
      </c>
      <c r="R24" s="16" t="s">
        <v>42</v>
      </c>
      <c r="S24" s="16" t="s">
        <v>43</v>
      </c>
      <c r="T24" s="16" t="s">
        <v>223</v>
      </c>
      <c r="U24" s="16" t="s">
        <v>224</v>
      </c>
      <c r="V24" s="16" t="s">
        <v>225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46</v>
      </c>
      <c r="AB24">
        <v>4.2976649519973202</v>
      </c>
      <c r="AC24">
        <v>-74.804779644180798</v>
      </c>
      <c r="AE24" t="s">
        <v>64</v>
      </c>
      <c r="AF24">
        <v>1</v>
      </c>
    </row>
    <row r="25" spans="1:32" ht="32.1" customHeight="1">
      <c r="A25" s="16">
        <v>3656464</v>
      </c>
      <c r="B25" s="16" t="s">
        <v>48</v>
      </c>
      <c r="C25" s="16" t="s">
        <v>49</v>
      </c>
      <c r="D25" s="16" t="s">
        <v>218</v>
      </c>
      <c r="E25" s="16" t="s">
        <v>218</v>
      </c>
      <c r="F25" s="16" t="s">
        <v>226</v>
      </c>
      <c r="G25" s="16">
        <v>2026</v>
      </c>
      <c r="H25" s="16" t="s">
        <v>34</v>
      </c>
      <c r="I25" s="16" t="s">
        <v>35</v>
      </c>
      <c r="J25" s="16" t="s">
        <v>227</v>
      </c>
      <c r="K25" s="16"/>
      <c r="L25" s="16" t="s">
        <v>52</v>
      </c>
      <c r="M25" s="16" t="s">
        <v>53</v>
      </c>
      <c r="N25" s="16" t="s">
        <v>228</v>
      </c>
      <c r="O25" s="16"/>
      <c r="P25" s="20" t="s">
        <v>229</v>
      </c>
      <c r="Q25" s="16" t="s">
        <v>41</v>
      </c>
      <c r="R25" s="16" t="s">
        <v>81</v>
      </c>
      <c r="S25" s="16" t="s">
        <v>43</v>
      </c>
      <c r="T25" s="16">
        <v>3123311755</v>
      </c>
      <c r="U25" s="16">
        <v>3208997195</v>
      </c>
      <c r="V25" s="16" t="s">
        <v>230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46</v>
      </c>
      <c r="AB25">
        <v>4.7423162697336601</v>
      </c>
      <c r="AC25">
        <v>-74.047421626984203</v>
      </c>
      <c r="AE25" t="s">
        <v>64</v>
      </c>
      <c r="AF25">
        <v>1</v>
      </c>
    </row>
    <row r="26" spans="1:32" ht="32.1" customHeight="1">
      <c r="A26" s="16">
        <v>3656477</v>
      </c>
      <c r="B26" s="16" t="s">
        <v>128</v>
      </c>
      <c r="C26" s="16" t="s">
        <v>129</v>
      </c>
      <c r="D26" s="16" t="s">
        <v>218</v>
      </c>
      <c r="E26" s="16" t="s">
        <v>218</v>
      </c>
      <c r="F26" s="16" t="s">
        <v>231</v>
      </c>
      <c r="G26" s="16">
        <v>2026</v>
      </c>
      <c r="H26" s="16" t="s">
        <v>34</v>
      </c>
      <c r="I26" s="16" t="s">
        <v>35</v>
      </c>
      <c r="J26" s="16" t="s">
        <v>232</v>
      </c>
      <c r="K26" s="16"/>
      <c r="L26" s="16" t="s">
        <v>52</v>
      </c>
      <c r="M26" s="16" t="s">
        <v>53</v>
      </c>
      <c r="N26" s="16" t="s">
        <v>233</v>
      </c>
      <c r="O26" s="16"/>
      <c r="P26" s="20" t="s">
        <v>234</v>
      </c>
      <c r="Q26" s="16" t="s">
        <v>134</v>
      </c>
      <c r="R26" s="16" t="s">
        <v>42</v>
      </c>
      <c r="S26" s="16" t="s">
        <v>135</v>
      </c>
      <c r="T26" s="16">
        <v>3205633053</v>
      </c>
      <c r="U26" s="16">
        <v>3205633053</v>
      </c>
      <c r="V26" s="16" t="s">
        <v>235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46</v>
      </c>
      <c r="AB26">
        <v>4.5235151000670504</v>
      </c>
      <c r="AC26">
        <v>-74.123654575595296</v>
      </c>
      <c r="AE26" t="s">
        <v>64</v>
      </c>
      <c r="AF26">
        <v>1</v>
      </c>
    </row>
    <row r="27" spans="1:32" ht="32.1" customHeight="1">
      <c r="A27" s="16">
        <v>3656520</v>
      </c>
      <c r="B27" s="16" t="s">
        <v>86</v>
      </c>
      <c r="C27" s="16" t="s">
        <v>87</v>
      </c>
      <c r="D27" s="16" t="s">
        <v>218</v>
      </c>
      <c r="E27" s="16" t="s">
        <v>218</v>
      </c>
      <c r="F27" s="16" t="s">
        <v>236</v>
      </c>
      <c r="G27" s="16">
        <v>2026</v>
      </c>
      <c r="H27" s="16" t="s">
        <v>34</v>
      </c>
      <c r="I27" s="16" t="s">
        <v>35</v>
      </c>
      <c r="J27" s="16" t="s">
        <v>237</v>
      </c>
      <c r="K27" s="16"/>
      <c r="L27" s="16" t="s">
        <v>69</v>
      </c>
      <c r="M27" s="16" t="s">
        <v>70</v>
      </c>
      <c r="N27" s="16" t="s">
        <v>238</v>
      </c>
      <c r="O27" s="16"/>
      <c r="P27" s="20" t="s">
        <v>239</v>
      </c>
      <c r="Q27" s="16" t="s">
        <v>73</v>
      </c>
      <c r="R27" s="16" t="s">
        <v>81</v>
      </c>
      <c r="S27" s="16" t="s">
        <v>82</v>
      </c>
      <c r="T27" s="16">
        <v>3104223304</v>
      </c>
      <c r="U27" s="16" t="s">
        <v>240</v>
      </c>
      <c r="V27" s="16" t="s">
        <v>241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46</v>
      </c>
      <c r="AB27">
        <v>4.8035609814776299</v>
      </c>
      <c r="AC27">
        <v>-75.690927171519505</v>
      </c>
      <c r="AE27" t="s">
        <v>104</v>
      </c>
      <c r="AF27">
        <v>1</v>
      </c>
    </row>
    <row r="28" spans="1:32" ht="32.1" customHeight="1">
      <c r="A28" s="16">
        <v>3656577</v>
      </c>
      <c r="B28" s="16" t="s">
        <v>65</v>
      </c>
      <c r="C28" s="16" t="s">
        <v>66</v>
      </c>
      <c r="D28" s="16" t="s">
        <v>218</v>
      </c>
      <c r="E28" s="16" t="s">
        <v>218</v>
      </c>
      <c r="F28" s="16" t="s">
        <v>242</v>
      </c>
      <c r="G28" s="16">
        <v>2026</v>
      </c>
      <c r="H28" s="16" t="s">
        <v>34</v>
      </c>
      <c r="I28" s="16" t="s">
        <v>35</v>
      </c>
      <c r="J28" s="16" t="s">
        <v>243</v>
      </c>
      <c r="K28" s="16"/>
      <c r="L28" s="16" t="s">
        <v>69</v>
      </c>
      <c r="M28" s="16" t="s">
        <v>70</v>
      </c>
      <c r="N28" s="16" t="s">
        <v>244</v>
      </c>
      <c r="O28" s="16"/>
      <c r="P28" s="20" t="s">
        <v>245</v>
      </c>
      <c r="Q28" s="16" t="s">
        <v>41</v>
      </c>
      <c r="R28" s="16" t="s">
        <v>42</v>
      </c>
      <c r="S28" s="16" t="s">
        <v>135</v>
      </c>
      <c r="T28" s="16" t="s">
        <v>246</v>
      </c>
      <c r="U28" s="16" t="s">
        <v>247</v>
      </c>
      <c r="V28" s="16" t="s">
        <v>248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46</v>
      </c>
      <c r="AB28">
        <v>4.8014199279788201</v>
      </c>
      <c r="AC28">
        <v>-75.841607628850099</v>
      </c>
      <c r="AE28" t="s">
        <v>47</v>
      </c>
      <c r="AF28">
        <v>1</v>
      </c>
    </row>
    <row r="29" spans="1:32" ht="32.1" customHeight="1">
      <c r="A29" s="16">
        <v>3656588</v>
      </c>
      <c r="B29" s="16" t="s">
        <v>203</v>
      </c>
      <c r="C29" s="16" t="s">
        <v>204</v>
      </c>
      <c r="D29" s="16" t="s">
        <v>218</v>
      </c>
      <c r="E29" s="16" t="s">
        <v>218</v>
      </c>
      <c r="F29" s="16" t="s">
        <v>249</v>
      </c>
      <c r="G29" s="16">
        <v>2026</v>
      </c>
      <c r="H29" s="16" t="s">
        <v>34</v>
      </c>
      <c r="I29" s="16" t="s">
        <v>35</v>
      </c>
      <c r="J29" s="16" t="s">
        <v>250</v>
      </c>
      <c r="K29" s="16"/>
      <c r="L29" s="16" t="s">
        <v>52</v>
      </c>
      <c r="M29" s="16" t="s">
        <v>53</v>
      </c>
      <c r="N29" s="16" t="s">
        <v>251</v>
      </c>
      <c r="O29" s="16"/>
      <c r="P29" s="20" t="s">
        <v>252</v>
      </c>
      <c r="Q29" s="16" t="s">
        <v>41</v>
      </c>
      <c r="R29" s="16" t="s">
        <v>81</v>
      </c>
      <c r="S29" s="16" t="s">
        <v>43</v>
      </c>
      <c r="T29" s="16" t="s">
        <v>253</v>
      </c>
      <c r="U29" s="16" t="s">
        <v>209</v>
      </c>
      <c r="V29" s="16" t="s">
        <v>254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46</v>
      </c>
      <c r="AB29">
        <v>4.7032329975330303</v>
      </c>
      <c r="AC29">
        <v>-74.054021598190303</v>
      </c>
      <c r="AE29" t="s">
        <v>64</v>
      </c>
      <c r="AF29">
        <v>1</v>
      </c>
    </row>
    <row r="30" spans="1:32" ht="32.1" customHeight="1">
      <c r="A30" s="16">
        <v>3656652</v>
      </c>
      <c r="B30" s="16" t="s">
        <v>48</v>
      </c>
      <c r="C30" s="16" t="s">
        <v>49</v>
      </c>
      <c r="D30" s="16" t="s">
        <v>218</v>
      </c>
      <c r="E30" s="16" t="s">
        <v>218</v>
      </c>
      <c r="F30" s="16" t="s">
        <v>255</v>
      </c>
      <c r="G30" s="16">
        <v>2026</v>
      </c>
      <c r="H30" s="16" t="s">
        <v>34</v>
      </c>
      <c r="I30" s="16" t="s">
        <v>35</v>
      </c>
      <c r="J30" s="16" t="s">
        <v>256</v>
      </c>
      <c r="K30" s="16" t="s">
        <v>257</v>
      </c>
      <c r="L30" s="16" t="s">
        <v>52</v>
      </c>
      <c r="M30" s="16" t="s">
        <v>53</v>
      </c>
      <c r="N30" s="24" t="s">
        <v>258</v>
      </c>
      <c r="O30" s="16"/>
      <c r="P30" s="20" t="s">
        <v>259</v>
      </c>
      <c r="Q30" s="16" t="s">
        <v>134</v>
      </c>
      <c r="R30" s="16" t="s">
        <v>42</v>
      </c>
      <c r="S30" s="16" t="s">
        <v>135</v>
      </c>
      <c r="T30" s="16">
        <v>3124883281</v>
      </c>
      <c r="U30" s="16">
        <v>3028167161</v>
      </c>
      <c r="V30" s="16" t="s">
        <v>260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46</v>
      </c>
      <c r="AB30">
        <v>4.7516917299031904</v>
      </c>
      <c r="AC30">
        <v>-74.086346186513794</v>
      </c>
      <c r="AE30" t="s">
        <v>64</v>
      </c>
      <c r="AF30">
        <v>1</v>
      </c>
    </row>
    <row r="31" spans="1:32" ht="32.1" customHeight="1">
      <c r="A31" s="16">
        <v>3668119</v>
      </c>
      <c r="B31" s="16" t="s">
        <v>261</v>
      </c>
      <c r="C31" s="16" t="s">
        <v>262</v>
      </c>
      <c r="D31" s="16" t="s">
        <v>263</v>
      </c>
      <c r="E31" s="16" t="s">
        <v>263</v>
      </c>
      <c r="F31" s="16" t="s">
        <v>264</v>
      </c>
      <c r="G31" s="16">
        <v>2026</v>
      </c>
      <c r="H31" s="16" t="s">
        <v>34</v>
      </c>
      <c r="I31" s="16" t="s">
        <v>35</v>
      </c>
      <c r="J31" s="24" t="s">
        <v>265</v>
      </c>
      <c r="K31" s="24" t="s">
        <v>266</v>
      </c>
      <c r="L31" s="16" t="s">
        <v>52</v>
      </c>
      <c r="M31" s="22" t="s">
        <v>98</v>
      </c>
      <c r="N31" s="25" t="s">
        <v>267</v>
      </c>
      <c r="O31" s="23"/>
      <c r="P31" s="20" t="s">
        <v>268</v>
      </c>
      <c r="Q31" s="16" t="s">
        <v>134</v>
      </c>
      <c r="R31" s="16" t="s">
        <v>42</v>
      </c>
      <c r="S31" s="16" t="s">
        <v>135</v>
      </c>
      <c r="T31" s="16" t="s">
        <v>269</v>
      </c>
      <c r="U31" s="16">
        <v>3112581902</v>
      </c>
      <c r="V31" s="20" t="s">
        <v>270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271</v>
      </c>
      <c r="AA31" t="s">
        <v>46</v>
      </c>
      <c r="AB31" t="s">
        <v>272</v>
      </c>
      <c r="AE31" t="s">
        <v>47</v>
      </c>
      <c r="AF31">
        <v>1</v>
      </c>
    </row>
    <row r="32" spans="1:32" ht="18.95" customHeight="1">
      <c r="A32" s="16">
        <v>3671208</v>
      </c>
      <c r="B32" s="16" t="s">
        <v>273</v>
      </c>
      <c r="C32" s="16" t="s">
        <v>274</v>
      </c>
      <c r="D32" s="16" t="s">
        <v>275</v>
      </c>
      <c r="E32" s="16" t="s">
        <v>275</v>
      </c>
      <c r="F32" s="16" t="s">
        <v>276</v>
      </c>
      <c r="G32" s="16">
        <v>2026</v>
      </c>
      <c r="H32" s="16" t="s">
        <v>34</v>
      </c>
      <c r="I32" s="22" t="s">
        <v>35</v>
      </c>
      <c r="J32" s="25" t="s">
        <v>277</v>
      </c>
      <c r="K32" s="26"/>
      <c r="L32" s="23" t="s">
        <v>52</v>
      </c>
      <c r="M32" s="22" t="s">
        <v>53</v>
      </c>
      <c r="N32" s="16" t="s">
        <v>278</v>
      </c>
      <c r="O32" s="23"/>
      <c r="P32" s="20" t="s">
        <v>279</v>
      </c>
      <c r="Q32" s="16" t="s">
        <v>134</v>
      </c>
      <c r="R32" s="16" t="s">
        <v>81</v>
      </c>
      <c r="S32" s="16" t="s">
        <v>135</v>
      </c>
      <c r="T32" s="16">
        <v>3014398395</v>
      </c>
      <c r="U32" s="16" t="s">
        <v>280</v>
      </c>
      <c r="V32" s="20" t="s">
        <v>281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46</v>
      </c>
      <c r="AB32" t="s">
        <v>282</v>
      </c>
      <c r="AE32" t="s">
        <v>104</v>
      </c>
      <c r="AF32">
        <v>2</v>
      </c>
    </row>
    <row r="33" spans="1:32" ht="18.95" customHeight="1">
      <c r="A33" s="16">
        <v>3671222</v>
      </c>
      <c r="B33" s="16" t="s">
        <v>273</v>
      </c>
      <c r="C33" s="16" t="s">
        <v>274</v>
      </c>
      <c r="D33" s="16" t="s">
        <v>275</v>
      </c>
      <c r="E33" s="16" t="s">
        <v>275</v>
      </c>
      <c r="F33" s="16" t="s">
        <v>283</v>
      </c>
      <c r="G33" s="16">
        <v>2026</v>
      </c>
      <c r="H33" s="16" t="s">
        <v>34</v>
      </c>
      <c r="I33" s="22" t="s">
        <v>35</v>
      </c>
      <c r="J33" s="25" t="s">
        <v>59</v>
      </c>
      <c r="K33" s="26"/>
      <c r="L33" s="23" t="s">
        <v>52</v>
      </c>
      <c r="M33" s="22" t="s">
        <v>53</v>
      </c>
      <c r="N33" s="16" t="s">
        <v>284</v>
      </c>
      <c r="O33" s="23"/>
      <c r="P33" s="20" t="s">
        <v>285</v>
      </c>
      <c r="Q33" s="16" t="s">
        <v>41</v>
      </c>
      <c r="R33" s="16" t="s">
        <v>42</v>
      </c>
      <c r="S33" s="16" t="s">
        <v>101</v>
      </c>
      <c r="T33" s="16">
        <v>3004550101</v>
      </c>
      <c r="U33" s="16" t="s">
        <v>280</v>
      </c>
      <c r="V33" s="20" t="s">
        <v>286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167</v>
      </c>
      <c r="AD33" t="s">
        <v>287</v>
      </c>
      <c r="AE33" t="s">
        <v>47</v>
      </c>
      <c r="AF33">
        <v>2</v>
      </c>
    </row>
    <row r="34" spans="1:32" ht="18.95" customHeight="1">
      <c r="A34" s="16">
        <v>3671223</v>
      </c>
      <c r="B34" s="16" t="s">
        <v>273</v>
      </c>
      <c r="C34" s="16" t="s">
        <v>274</v>
      </c>
      <c r="D34" s="16" t="s">
        <v>275</v>
      </c>
      <c r="E34" s="16" t="s">
        <v>275</v>
      </c>
      <c r="F34" s="16" t="s">
        <v>288</v>
      </c>
      <c r="G34" s="16">
        <v>2026</v>
      </c>
      <c r="H34" s="16" t="s">
        <v>34</v>
      </c>
      <c r="I34" s="22" t="s">
        <v>35</v>
      </c>
      <c r="J34" s="25" t="s">
        <v>289</v>
      </c>
      <c r="K34" s="26"/>
      <c r="L34" s="23" t="s">
        <v>52</v>
      </c>
      <c r="M34" s="22" t="s">
        <v>53</v>
      </c>
      <c r="N34" s="16" t="s">
        <v>290</v>
      </c>
      <c r="O34" s="23"/>
      <c r="P34" s="20" t="s">
        <v>291</v>
      </c>
      <c r="Q34" s="16" t="s">
        <v>41</v>
      </c>
      <c r="R34" s="16" t="s">
        <v>81</v>
      </c>
      <c r="S34" s="16" t="s">
        <v>43</v>
      </c>
      <c r="T34" s="16">
        <v>3146011459</v>
      </c>
      <c r="U34" s="16" t="s">
        <v>280</v>
      </c>
      <c r="V34" s="20" t="s">
        <v>292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46</v>
      </c>
      <c r="AB34" t="s">
        <v>293</v>
      </c>
      <c r="AE34" t="s">
        <v>47</v>
      </c>
      <c r="AF34">
        <v>2</v>
      </c>
    </row>
    <row r="35" spans="1:32" ht="18.95" customHeight="1">
      <c r="A35" s="16">
        <v>3671230</v>
      </c>
      <c r="B35" s="16" t="s">
        <v>273</v>
      </c>
      <c r="C35" s="16" t="s">
        <v>274</v>
      </c>
      <c r="D35" s="16" t="s">
        <v>275</v>
      </c>
      <c r="E35" s="16" t="s">
        <v>275</v>
      </c>
      <c r="F35" s="16" t="s">
        <v>294</v>
      </c>
      <c r="G35" s="16">
        <v>2026</v>
      </c>
      <c r="H35" s="16" t="s">
        <v>34</v>
      </c>
      <c r="I35" s="22" t="s">
        <v>35</v>
      </c>
      <c r="J35" s="25" t="s">
        <v>295</v>
      </c>
      <c r="K35" s="26"/>
      <c r="L35" s="23" t="s">
        <v>52</v>
      </c>
      <c r="M35" s="22" t="s">
        <v>53</v>
      </c>
      <c r="N35" s="16" t="s">
        <v>296</v>
      </c>
      <c r="O35" s="23"/>
      <c r="P35" s="20" t="s">
        <v>297</v>
      </c>
      <c r="Q35" s="16" t="s">
        <v>134</v>
      </c>
      <c r="R35" s="16" t="s">
        <v>42</v>
      </c>
      <c r="S35" s="16" t="s">
        <v>135</v>
      </c>
      <c r="T35" s="16" t="s">
        <v>298</v>
      </c>
      <c r="U35" s="16" t="s">
        <v>280</v>
      </c>
      <c r="V35" s="20" t="s">
        <v>299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46</v>
      </c>
      <c r="AB35" t="s">
        <v>300</v>
      </c>
      <c r="AE35" t="s">
        <v>64</v>
      </c>
      <c r="AF35">
        <v>2</v>
      </c>
    </row>
    <row r="36" spans="1:32" ht="18.95" customHeight="1">
      <c r="A36" s="16">
        <v>3671239</v>
      </c>
      <c r="B36" s="16" t="s">
        <v>212</v>
      </c>
      <c r="C36" s="16" t="s">
        <v>212</v>
      </c>
      <c r="D36" s="16" t="s">
        <v>275</v>
      </c>
      <c r="E36" s="16" t="s">
        <v>275</v>
      </c>
      <c r="F36" s="16" t="s">
        <v>301</v>
      </c>
      <c r="G36" s="16">
        <v>2026</v>
      </c>
      <c r="H36" s="16" t="s">
        <v>34</v>
      </c>
      <c r="I36" s="22" t="s">
        <v>35</v>
      </c>
      <c r="J36" s="25" t="s">
        <v>302</v>
      </c>
      <c r="K36" s="26"/>
      <c r="L36" s="23" t="s">
        <v>52</v>
      </c>
      <c r="M36" s="22" t="s">
        <v>53</v>
      </c>
      <c r="N36" s="16" t="s">
        <v>303</v>
      </c>
      <c r="O36" s="23"/>
      <c r="P36" s="20" t="s">
        <v>304</v>
      </c>
      <c r="Q36" s="16" t="s">
        <v>134</v>
      </c>
      <c r="R36" s="16" t="s">
        <v>81</v>
      </c>
      <c r="S36" s="16" t="s">
        <v>135</v>
      </c>
      <c r="T36" s="16">
        <v>3124174552</v>
      </c>
      <c r="U36" s="16">
        <v>3124174552</v>
      </c>
      <c r="V36" s="20" t="s">
        <v>305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46</v>
      </c>
      <c r="AE36" t="s">
        <v>104</v>
      </c>
      <c r="AF36">
        <v>2</v>
      </c>
    </row>
    <row r="37" spans="1:32" ht="18.95" customHeight="1">
      <c r="A37" s="16">
        <v>3671241</v>
      </c>
      <c r="B37" s="16" t="s">
        <v>212</v>
      </c>
      <c r="C37" s="16" t="s">
        <v>212</v>
      </c>
      <c r="D37" s="16" t="s">
        <v>275</v>
      </c>
      <c r="E37" s="16" t="s">
        <v>275</v>
      </c>
      <c r="F37" s="16" t="s">
        <v>306</v>
      </c>
      <c r="G37" s="16">
        <v>2026</v>
      </c>
      <c r="H37" s="16" t="s">
        <v>34</v>
      </c>
      <c r="I37" s="22" t="s">
        <v>35</v>
      </c>
      <c r="J37" s="25" t="s">
        <v>307</v>
      </c>
      <c r="K37" s="26"/>
      <c r="L37" s="23" t="s">
        <v>52</v>
      </c>
      <c r="M37" s="22" t="s">
        <v>53</v>
      </c>
      <c r="N37" s="16" t="s">
        <v>308</v>
      </c>
      <c r="O37" s="23"/>
      <c r="P37" s="20" t="s">
        <v>309</v>
      </c>
      <c r="Q37" s="16" t="s">
        <v>134</v>
      </c>
      <c r="R37" s="16" t="s">
        <v>81</v>
      </c>
      <c r="S37" s="16" t="s">
        <v>135</v>
      </c>
      <c r="T37" s="16">
        <v>3151587722</v>
      </c>
      <c r="U37" s="16">
        <v>3114408944</v>
      </c>
      <c r="V37" s="20" t="s">
        <v>310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46</v>
      </c>
      <c r="AE37" t="s">
        <v>104</v>
      </c>
      <c r="AF37">
        <v>2</v>
      </c>
    </row>
    <row r="38" spans="1:32" ht="18.95" customHeight="1">
      <c r="A38" s="16">
        <v>3671242</v>
      </c>
      <c r="B38" s="16" t="s">
        <v>212</v>
      </c>
      <c r="C38" s="16" t="s">
        <v>212</v>
      </c>
      <c r="D38" s="16" t="s">
        <v>275</v>
      </c>
      <c r="E38" s="16" t="s">
        <v>275</v>
      </c>
      <c r="F38" s="16" t="s">
        <v>311</v>
      </c>
      <c r="G38" s="16">
        <v>2026</v>
      </c>
      <c r="H38" s="16" t="s">
        <v>34</v>
      </c>
      <c r="I38" s="22" t="s">
        <v>35</v>
      </c>
      <c r="J38" s="25" t="s">
        <v>312</v>
      </c>
      <c r="K38" s="26"/>
      <c r="L38" s="23" t="s">
        <v>52</v>
      </c>
      <c r="M38" s="22" t="s">
        <v>53</v>
      </c>
      <c r="N38" s="16" t="s">
        <v>313</v>
      </c>
      <c r="O38" s="23"/>
      <c r="P38" s="20" t="s">
        <v>314</v>
      </c>
      <c r="Q38" s="16" t="s">
        <v>41</v>
      </c>
      <c r="R38" s="16" t="s">
        <v>81</v>
      </c>
      <c r="S38" s="16" t="s">
        <v>135</v>
      </c>
      <c r="T38" s="16">
        <v>3123849628</v>
      </c>
      <c r="U38" s="16">
        <v>3213048268</v>
      </c>
      <c r="V38" s="20" t="s">
        <v>315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46</v>
      </c>
      <c r="AE38" t="s">
        <v>104</v>
      </c>
      <c r="AF38">
        <v>2</v>
      </c>
    </row>
    <row r="39" spans="1:32" ht="18.95" customHeight="1">
      <c r="A39" s="16">
        <v>3671243</v>
      </c>
      <c r="B39" s="16" t="s">
        <v>212</v>
      </c>
      <c r="C39" s="16" t="s">
        <v>212</v>
      </c>
      <c r="D39" s="16" t="s">
        <v>275</v>
      </c>
      <c r="E39" s="16" t="s">
        <v>275</v>
      </c>
      <c r="F39" s="16" t="s">
        <v>316</v>
      </c>
      <c r="G39" s="16">
        <v>2026</v>
      </c>
      <c r="H39" s="16" t="s">
        <v>34</v>
      </c>
      <c r="I39" s="22" t="s">
        <v>35</v>
      </c>
      <c r="J39" s="25" t="s">
        <v>317</v>
      </c>
      <c r="K39" s="26"/>
      <c r="L39" s="23" t="s">
        <v>52</v>
      </c>
      <c r="M39" s="22" t="s">
        <v>53</v>
      </c>
      <c r="N39" s="16" t="s">
        <v>318</v>
      </c>
      <c r="O39" s="23"/>
      <c r="P39" s="20" t="s">
        <v>319</v>
      </c>
      <c r="Q39" s="16" t="s">
        <v>134</v>
      </c>
      <c r="R39" s="16" t="s">
        <v>81</v>
      </c>
      <c r="S39" s="16" t="s">
        <v>43</v>
      </c>
      <c r="T39" s="16">
        <v>3144802665</v>
      </c>
      <c r="U39" s="16">
        <v>3144802665</v>
      </c>
      <c r="V39" s="20" t="s">
        <v>320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46</v>
      </c>
      <c r="AE39" t="s">
        <v>104</v>
      </c>
      <c r="AF39">
        <v>2</v>
      </c>
    </row>
    <row r="40" spans="1:32" ht="18.95" customHeight="1">
      <c r="A40" s="16">
        <v>3671245</v>
      </c>
      <c r="B40" s="16" t="s">
        <v>212</v>
      </c>
      <c r="C40" s="16" t="s">
        <v>212</v>
      </c>
      <c r="D40" s="16" t="s">
        <v>275</v>
      </c>
      <c r="E40" s="16" t="s">
        <v>275</v>
      </c>
      <c r="F40" s="16" t="s">
        <v>321</v>
      </c>
      <c r="G40" s="16">
        <v>2026</v>
      </c>
      <c r="H40" s="16" t="s">
        <v>34</v>
      </c>
      <c r="I40" s="22" t="s">
        <v>35</v>
      </c>
      <c r="J40" s="25" t="s">
        <v>322</v>
      </c>
      <c r="K40" s="26"/>
      <c r="L40" s="23" t="s">
        <v>52</v>
      </c>
      <c r="M40" s="22" t="s">
        <v>53</v>
      </c>
      <c r="N40" s="16" t="s">
        <v>323</v>
      </c>
      <c r="O40" s="23"/>
      <c r="P40" s="20" t="s">
        <v>324</v>
      </c>
      <c r="Q40" s="16" t="s">
        <v>73</v>
      </c>
      <c r="R40" s="16" t="s">
        <v>81</v>
      </c>
      <c r="S40" s="16" t="s">
        <v>43</v>
      </c>
      <c r="T40" s="16">
        <v>3168329200</v>
      </c>
      <c r="U40" s="16">
        <v>3168329200</v>
      </c>
      <c r="V40" s="20" t="s">
        <v>325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46</v>
      </c>
      <c r="AE40" t="s">
        <v>104</v>
      </c>
      <c r="AF40">
        <v>2</v>
      </c>
    </row>
    <row r="41" spans="1:32" ht="18.95" customHeight="1">
      <c r="A41" s="16">
        <v>3671253</v>
      </c>
      <c r="B41" s="16" t="s">
        <v>212</v>
      </c>
      <c r="C41" s="16" t="s">
        <v>212</v>
      </c>
      <c r="D41" s="16" t="s">
        <v>275</v>
      </c>
      <c r="E41" s="16" t="s">
        <v>275</v>
      </c>
      <c r="F41" s="16" t="s">
        <v>326</v>
      </c>
      <c r="G41" s="16">
        <v>2026</v>
      </c>
      <c r="H41" s="16" t="s">
        <v>34</v>
      </c>
      <c r="I41" s="22" t="s">
        <v>35</v>
      </c>
      <c r="J41" s="25" t="s">
        <v>327</v>
      </c>
      <c r="K41" s="26"/>
      <c r="L41" s="23" t="s">
        <v>52</v>
      </c>
      <c r="M41" s="22" t="s">
        <v>53</v>
      </c>
      <c r="N41" s="16" t="s">
        <v>328</v>
      </c>
      <c r="O41" s="23"/>
      <c r="P41" s="20" t="s">
        <v>329</v>
      </c>
      <c r="Q41" s="16" t="s">
        <v>134</v>
      </c>
      <c r="R41" s="16" t="s">
        <v>81</v>
      </c>
      <c r="S41" s="16" t="s">
        <v>43</v>
      </c>
      <c r="T41" s="16">
        <v>3105726862</v>
      </c>
      <c r="U41" s="16">
        <v>3105726862</v>
      </c>
      <c r="V41" s="20" t="s">
        <v>330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167</v>
      </c>
      <c r="AD41" t="s">
        <v>331</v>
      </c>
      <c r="AE41" t="s">
        <v>47</v>
      </c>
      <c r="AF41">
        <v>2</v>
      </c>
    </row>
    <row r="42" spans="1:32" ht="18.95" customHeight="1">
      <c r="A42" s="16">
        <v>3676125</v>
      </c>
      <c r="B42" s="16" t="s">
        <v>332</v>
      </c>
      <c r="C42" s="16" t="s">
        <v>333</v>
      </c>
      <c r="D42" s="16" t="s">
        <v>334</v>
      </c>
      <c r="E42" s="16" t="s">
        <v>334</v>
      </c>
      <c r="F42" s="16" t="s">
        <v>335</v>
      </c>
      <c r="G42" s="16">
        <v>2026</v>
      </c>
      <c r="H42" s="16" t="s">
        <v>34</v>
      </c>
      <c r="I42" s="22" t="s">
        <v>35</v>
      </c>
      <c r="J42" s="25" t="s">
        <v>336</v>
      </c>
      <c r="K42" s="26"/>
      <c r="L42" s="23" t="s">
        <v>37</v>
      </c>
      <c r="M42" s="22" t="s">
        <v>38</v>
      </c>
      <c r="N42" s="16" t="s">
        <v>337</v>
      </c>
      <c r="O42" s="23"/>
      <c r="P42" s="20" t="s">
        <v>338</v>
      </c>
      <c r="Q42" s="16" t="s">
        <v>134</v>
      </c>
      <c r="R42" s="16" t="s">
        <v>81</v>
      </c>
      <c r="S42" s="16" t="s">
        <v>135</v>
      </c>
      <c r="T42" s="16">
        <v>3160181684</v>
      </c>
      <c r="U42" s="16" t="s">
        <v>339</v>
      </c>
      <c r="V42" s="20" t="s">
        <v>340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46</v>
      </c>
      <c r="AE42" t="s">
        <v>104</v>
      </c>
      <c r="AF42">
        <v>2</v>
      </c>
    </row>
    <row r="43" spans="1:32" ht="18.95" customHeight="1">
      <c r="A43" s="16">
        <v>3676210</v>
      </c>
      <c r="B43" s="16" t="s">
        <v>341</v>
      </c>
      <c r="C43" s="16" t="s">
        <v>342</v>
      </c>
      <c r="D43" s="16" t="s">
        <v>334</v>
      </c>
      <c r="E43" s="16" t="s">
        <v>334</v>
      </c>
      <c r="F43" s="16" t="s">
        <v>343</v>
      </c>
      <c r="G43" s="16">
        <v>2026</v>
      </c>
      <c r="H43" s="16" t="s">
        <v>34</v>
      </c>
      <c r="I43" s="22" t="s">
        <v>35</v>
      </c>
      <c r="J43" s="25" t="s">
        <v>344</v>
      </c>
      <c r="K43" s="26"/>
      <c r="L43" s="23" t="s">
        <v>52</v>
      </c>
      <c r="M43" s="22" t="s">
        <v>53</v>
      </c>
      <c r="N43" s="16" t="s">
        <v>345</v>
      </c>
      <c r="O43" s="23"/>
      <c r="P43" s="20" t="s">
        <v>346</v>
      </c>
      <c r="Q43" s="16" t="s">
        <v>41</v>
      </c>
      <c r="R43" s="16" t="s">
        <v>81</v>
      </c>
      <c r="S43" s="16" t="s">
        <v>43</v>
      </c>
      <c r="T43" s="16" t="s">
        <v>347</v>
      </c>
      <c r="U43" s="16" t="s">
        <v>348</v>
      </c>
      <c r="V43" s="20" t="s">
        <v>349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46</v>
      </c>
      <c r="AE43" t="s">
        <v>104</v>
      </c>
      <c r="AF43">
        <v>2</v>
      </c>
    </row>
    <row r="44" spans="1:32" ht="18.95" customHeight="1">
      <c r="A44" s="16">
        <v>3676236</v>
      </c>
      <c r="B44" s="16" t="s">
        <v>350</v>
      </c>
      <c r="C44" s="16" t="s">
        <v>351</v>
      </c>
      <c r="D44" s="16" t="s">
        <v>334</v>
      </c>
      <c r="E44" s="16" t="s">
        <v>334</v>
      </c>
      <c r="F44" s="16" t="s">
        <v>352</v>
      </c>
      <c r="G44" s="16">
        <v>2026</v>
      </c>
      <c r="H44" s="16" t="s">
        <v>34</v>
      </c>
      <c r="I44" s="22" t="s">
        <v>35</v>
      </c>
      <c r="J44" s="25" t="s">
        <v>353</v>
      </c>
      <c r="K44" s="26"/>
      <c r="L44" s="23" t="s">
        <v>52</v>
      </c>
      <c r="M44" s="22" t="s">
        <v>53</v>
      </c>
      <c r="N44" s="16" t="s">
        <v>354</v>
      </c>
      <c r="O44" s="23"/>
      <c r="P44" s="20" t="s">
        <v>355</v>
      </c>
      <c r="Q44" s="16" t="s">
        <v>134</v>
      </c>
      <c r="R44" s="16" t="s">
        <v>81</v>
      </c>
      <c r="S44" s="16" t="s">
        <v>43</v>
      </c>
      <c r="T44" s="16">
        <v>3102267246</v>
      </c>
      <c r="U44" s="16" t="s">
        <v>113</v>
      </c>
      <c r="V44" s="20" t="s">
        <v>356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46</v>
      </c>
      <c r="AE44" t="s">
        <v>104</v>
      </c>
      <c r="AF44">
        <v>2</v>
      </c>
    </row>
    <row r="45" spans="1:32" ht="18.95" customHeight="1">
      <c r="A45" s="16">
        <v>3676247</v>
      </c>
      <c r="B45" s="16" t="s">
        <v>30</v>
      </c>
      <c r="C45" s="16" t="s">
        <v>31</v>
      </c>
      <c r="D45" s="16" t="s">
        <v>334</v>
      </c>
      <c r="E45" s="16" t="s">
        <v>334</v>
      </c>
      <c r="F45" s="16" t="s">
        <v>357</v>
      </c>
      <c r="G45" s="16">
        <v>2026</v>
      </c>
      <c r="H45" s="16" t="s">
        <v>34</v>
      </c>
      <c r="I45" s="22" t="s">
        <v>35</v>
      </c>
      <c r="J45" s="25" t="s">
        <v>358</v>
      </c>
      <c r="K45" s="26"/>
      <c r="L45" s="23" t="s">
        <v>37</v>
      </c>
      <c r="M45" s="22" t="s">
        <v>38</v>
      </c>
      <c r="N45" s="16" t="s">
        <v>359</v>
      </c>
      <c r="O45" s="23"/>
      <c r="P45" s="16" t="s">
        <v>360</v>
      </c>
      <c r="Q45" s="16" t="s">
        <v>41</v>
      </c>
      <c r="R45" s="16" t="s">
        <v>42</v>
      </c>
      <c r="S45" s="16" t="s">
        <v>101</v>
      </c>
      <c r="T45" s="16">
        <v>3209500506</v>
      </c>
      <c r="U45" s="16" t="s">
        <v>361</v>
      </c>
      <c r="V45" s="20" t="s">
        <v>362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s="32" t="s">
        <v>363</v>
      </c>
      <c r="AF45">
        <v>2</v>
      </c>
    </row>
    <row r="46" spans="1:32" ht="18.95" customHeight="1">
      <c r="A46" s="16">
        <v>3676328</v>
      </c>
      <c r="B46" s="16" t="s">
        <v>364</v>
      </c>
      <c r="C46" s="16" t="s">
        <v>365</v>
      </c>
      <c r="D46" s="16" t="s">
        <v>334</v>
      </c>
      <c r="E46" s="16" t="s">
        <v>334</v>
      </c>
      <c r="F46" s="16" t="s">
        <v>366</v>
      </c>
      <c r="G46" s="16">
        <v>2026</v>
      </c>
      <c r="H46" s="16" t="s">
        <v>34</v>
      </c>
      <c r="I46" s="22" t="s">
        <v>35</v>
      </c>
      <c r="J46" s="25" t="s">
        <v>367</v>
      </c>
      <c r="K46" s="26"/>
      <c r="L46" s="23" t="s">
        <v>37</v>
      </c>
      <c r="M46" s="22" t="s">
        <v>38</v>
      </c>
      <c r="N46" s="16" t="s">
        <v>368</v>
      </c>
      <c r="O46" s="23"/>
      <c r="P46" s="16" t="s">
        <v>369</v>
      </c>
      <c r="Q46" s="16" t="s">
        <v>73</v>
      </c>
      <c r="R46" s="16" t="s">
        <v>81</v>
      </c>
      <c r="S46" s="16" t="s">
        <v>82</v>
      </c>
      <c r="T46" s="16" t="s">
        <v>370</v>
      </c>
      <c r="U46" s="16" t="s">
        <v>371</v>
      </c>
      <c r="V46" s="20" t="s">
        <v>372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46</v>
      </c>
      <c r="AE46" t="s">
        <v>104</v>
      </c>
      <c r="AF46">
        <v>2</v>
      </c>
    </row>
    <row r="47" spans="1:32" ht="18.95" customHeight="1">
      <c r="A47" s="16">
        <v>3676345</v>
      </c>
      <c r="B47" s="16" t="s">
        <v>364</v>
      </c>
      <c r="C47" s="16" t="s">
        <v>365</v>
      </c>
      <c r="D47" s="16" t="s">
        <v>334</v>
      </c>
      <c r="E47" s="16" t="s">
        <v>334</v>
      </c>
      <c r="F47" s="16" t="s">
        <v>373</v>
      </c>
      <c r="G47" s="16">
        <v>2026</v>
      </c>
      <c r="H47" s="16" t="s">
        <v>34</v>
      </c>
      <c r="I47" s="22" t="s">
        <v>35</v>
      </c>
      <c r="J47" s="25" t="s">
        <v>374</v>
      </c>
      <c r="K47" s="26"/>
      <c r="L47" s="23" t="s">
        <v>37</v>
      </c>
      <c r="M47" s="22" t="s">
        <v>38</v>
      </c>
      <c r="N47" s="16" t="s">
        <v>375</v>
      </c>
      <c r="O47" s="23"/>
      <c r="P47" s="16" t="s">
        <v>376</v>
      </c>
      <c r="Q47" s="16" t="s">
        <v>41</v>
      </c>
      <c r="R47" s="16" t="s">
        <v>42</v>
      </c>
      <c r="S47" s="16" t="s">
        <v>135</v>
      </c>
      <c r="T47" s="16" t="s">
        <v>377</v>
      </c>
      <c r="U47" s="16" t="s">
        <v>378</v>
      </c>
      <c r="V47" s="20" t="s">
        <v>379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46</v>
      </c>
      <c r="AE47" t="s">
        <v>104</v>
      </c>
      <c r="AF47">
        <v>2</v>
      </c>
    </row>
    <row r="48" spans="1:32" ht="18.95" customHeight="1">
      <c r="A48" s="16">
        <v>3676323</v>
      </c>
      <c r="B48" s="16" t="s">
        <v>332</v>
      </c>
      <c r="C48" s="16" t="s">
        <v>333</v>
      </c>
      <c r="D48" s="16" t="s">
        <v>334</v>
      </c>
      <c r="E48" s="16" t="s">
        <v>334</v>
      </c>
      <c r="F48" s="16" t="s">
        <v>380</v>
      </c>
      <c r="G48" s="16">
        <v>2026</v>
      </c>
      <c r="H48" s="16" t="s">
        <v>34</v>
      </c>
      <c r="I48" s="22" t="s">
        <v>35</v>
      </c>
      <c r="J48" s="25" t="s">
        <v>381</v>
      </c>
      <c r="K48" s="26"/>
      <c r="L48" s="23" t="s">
        <v>37</v>
      </c>
      <c r="M48" s="22" t="s">
        <v>38</v>
      </c>
      <c r="N48" s="16" t="s">
        <v>382</v>
      </c>
      <c r="O48" s="23"/>
      <c r="P48" s="16" t="s">
        <v>383</v>
      </c>
      <c r="Q48" s="16" t="s">
        <v>41</v>
      </c>
      <c r="R48" s="16" t="s">
        <v>42</v>
      </c>
      <c r="S48" s="16" t="s">
        <v>43</v>
      </c>
      <c r="T48" s="16" t="s">
        <v>384</v>
      </c>
      <c r="U48" s="16" t="s">
        <v>385</v>
      </c>
      <c r="V48" s="20" t="s">
        <v>386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46</v>
      </c>
      <c r="AE48" t="s">
        <v>104</v>
      </c>
      <c r="AF48">
        <v>2</v>
      </c>
    </row>
    <row r="49" spans="1:32" ht="18.95" customHeight="1">
      <c r="A49" s="16">
        <v>3679961</v>
      </c>
      <c r="B49" s="16" t="s">
        <v>387</v>
      </c>
      <c r="C49" s="16"/>
      <c r="D49" s="16" t="s">
        <v>388</v>
      </c>
      <c r="E49" s="16" t="s">
        <v>388</v>
      </c>
      <c r="F49" s="16" t="s">
        <v>389</v>
      </c>
      <c r="G49" s="16">
        <v>2026</v>
      </c>
      <c r="H49" s="16" t="s">
        <v>34</v>
      </c>
      <c r="I49" s="22" t="s">
        <v>35</v>
      </c>
      <c r="J49" s="25" t="s">
        <v>390</v>
      </c>
      <c r="K49" s="26"/>
      <c r="L49" s="23" t="s">
        <v>52</v>
      </c>
      <c r="M49" s="22" t="s">
        <v>53</v>
      </c>
      <c r="N49" s="26" t="s">
        <v>391</v>
      </c>
      <c r="O49" s="23" t="s">
        <v>392</v>
      </c>
      <c r="P49" s="20" t="s">
        <v>393</v>
      </c>
      <c r="Q49" s="16" t="s">
        <v>134</v>
      </c>
      <c r="R49" s="16" t="s">
        <v>42</v>
      </c>
      <c r="S49" s="16" t="s">
        <v>135</v>
      </c>
      <c r="T49" s="16">
        <v>3212818265</v>
      </c>
      <c r="U49" s="16">
        <v>3214550461</v>
      </c>
      <c r="V49" s="20" t="s">
        <v>394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46</v>
      </c>
      <c r="AE49" t="s">
        <v>47</v>
      </c>
      <c r="AF49">
        <v>2</v>
      </c>
    </row>
    <row r="50" spans="1:32" ht="18.95" customHeight="1">
      <c r="A50" s="16">
        <v>3679980</v>
      </c>
      <c r="B50" s="16" t="s">
        <v>387</v>
      </c>
      <c r="C50" s="16"/>
      <c r="D50" s="16" t="s">
        <v>388</v>
      </c>
      <c r="E50" s="16" t="s">
        <v>388</v>
      </c>
      <c r="F50" s="16" t="s">
        <v>395</v>
      </c>
      <c r="G50" s="16">
        <v>2026</v>
      </c>
      <c r="H50" s="16" t="s">
        <v>34</v>
      </c>
      <c r="I50" s="22" t="s">
        <v>35</v>
      </c>
      <c r="J50" s="25" t="s">
        <v>396</v>
      </c>
      <c r="K50" s="26"/>
      <c r="L50" s="23" t="s">
        <v>52</v>
      </c>
      <c r="M50" s="22" t="s">
        <v>53</v>
      </c>
      <c r="N50" s="26" t="s">
        <v>397</v>
      </c>
      <c r="O50" s="23" t="s">
        <v>392</v>
      </c>
      <c r="P50" s="20" t="s">
        <v>398</v>
      </c>
      <c r="Q50" s="16" t="s">
        <v>73</v>
      </c>
      <c r="R50" s="16" t="s">
        <v>81</v>
      </c>
      <c r="S50" s="16" t="s">
        <v>399</v>
      </c>
      <c r="T50" s="16">
        <v>3144553626</v>
      </c>
      <c r="U50" s="16" t="s">
        <v>400</v>
      </c>
      <c r="V50" s="20" t="s">
        <v>401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46</v>
      </c>
      <c r="AE50" t="s">
        <v>47</v>
      </c>
      <c r="AF50">
        <v>2</v>
      </c>
    </row>
    <row r="51" spans="1:32" ht="18.95" customHeight="1">
      <c r="A51" s="16">
        <v>3679984</v>
      </c>
      <c r="B51" s="16" t="s">
        <v>387</v>
      </c>
      <c r="C51" s="16"/>
      <c r="D51" s="16" t="s">
        <v>388</v>
      </c>
      <c r="E51" s="16" t="s">
        <v>388</v>
      </c>
      <c r="F51" s="16" t="s">
        <v>402</v>
      </c>
      <c r="G51" s="16">
        <v>2026</v>
      </c>
      <c r="H51" s="16" t="s">
        <v>34</v>
      </c>
      <c r="I51" s="22" t="s">
        <v>35</v>
      </c>
      <c r="J51" s="25" t="s">
        <v>403</v>
      </c>
      <c r="K51" s="26"/>
      <c r="L51" s="23" t="s">
        <v>52</v>
      </c>
      <c r="M51" s="22" t="s">
        <v>53</v>
      </c>
      <c r="N51" s="26" t="s">
        <v>404</v>
      </c>
      <c r="O51" s="23" t="s">
        <v>392</v>
      </c>
      <c r="P51" s="20" t="s">
        <v>405</v>
      </c>
      <c r="Q51" s="16" t="s">
        <v>73</v>
      </c>
      <c r="R51" s="16" t="s">
        <v>42</v>
      </c>
      <c r="S51" s="16" t="s">
        <v>399</v>
      </c>
      <c r="T51" s="16">
        <v>3118109385</v>
      </c>
      <c r="U51" s="16" t="s">
        <v>406</v>
      </c>
      <c r="V51" s="20" t="s">
        <v>407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46</v>
      </c>
      <c r="AE51" t="s">
        <v>64</v>
      </c>
      <c r="AF51">
        <v>2</v>
      </c>
    </row>
    <row r="52" spans="1:32" ht="18.95" customHeight="1">
      <c r="A52" s="16">
        <v>3680011</v>
      </c>
      <c r="B52" s="16" t="s">
        <v>408</v>
      </c>
      <c r="C52" s="16" t="s">
        <v>409</v>
      </c>
      <c r="D52" s="16" t="s">
        <v>388</v>
      </c>
      <c r="E52" s="16" t="s">
        <v>388</v>
      </c>
      <c r="F52" s="16" t="s">
        <v>410</v>
      </c>
      <c r="G52" s="16">
        <v>2026</v>
      </c>
      <c r="H52" s="16" t="s">
        <v>34</v>
      </c>
      <c r="I52" s="22" t="s">
        <v>35</v>
      </c>
      <c r="J52" s="25" t="s">
        <v>411</v>
      </c>
      <c r="K52" s="26"/>
      <c r="L52" s="23" t="s">
        <v>52</v>
      </c>
      <c r="M52" s="22" t="s">
        <v>53</v>
      </c>
      <c r="N52" s="26"/>
      <c r="O52" s="23" t="s">
        <v>392</v>
      </c>
      <c r="P52" s="20" t="s">
        <v>412</v>
      </c>
      <c r="Q52" s="16" t="s">
        <v>41</v>
      </c>
      <c r="R52" s="16" t="s">
        <v>42</v>
      </c>
      <c r="S52" s="16" t="s">
        <v>43</v>
      </c>
      <c r="T52" s="16" t="s">
        <v>413</v>
      </c>
      <c r="U52" s="16" t="s">
        <v>414</v>
      </c>
      <c r="V52" s="20" t="s">
        <v>415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46</v>
      </c>
      <c r="AE52" t="s">
        <v>104</v>
      </c>
      <c r="AF52">
        <v>2</v>
      </c>
    </row>
    <row r="53" spans="1:32" ht="18.95" customHeight="1">
      <c r="A53" s="16">
        <v>3680024</v>
      </c>
      <c r="B53" s="16" t="s">
        <v>86</v>
      </c>
      <c r="C53" s="16" t="s">
        <v>87</v>
      </c>
      <c r="D53" s="16" t="s">
        <v>388</v>
      </c>
      <c r="E53" s="16" t="s">
        <v>388</v>
      </c>
      <c r="F53" s="16" t="s">
        <v>416</v>
      </c>
      <c r="G53" s="16">
        <v>2026</v>
      </c>
      <c r="H53" s="16" t="s">
        <v>34</v>
      </c>
      <c r="I53" s="22" t="s">
        <v>35</v>
      </c>
      <c r="J53" s="25" t="s">
        <v>417</v>
      </c>
      <c r="K53" s="26"/>
      <c r="L53" s="23" t="s">
        <v>69</v>
      </c>
      <c r="M53" s="22" t="s">
        <v>70</v>
      </c>
      <c r="N53" s="26" t="s">
        <v>418</v>
      </c>
      <c r="O53" s="23" t="s">
        <v>419</v>
      </c>
      <c r="P53" s="20" t="s">
        <v>420</v>
      </c>
      <c r="Q53" s="16" t="s">
        <v>41</v>
      </c>
      <c r="R53" s="16" t="s">
        <v>81</v>
      </c>
      <c r="S53" s="16" t="s">
        <v>421</v>
      </c>
      <c r="T53" s="16">
        <v>3137456421</v>
      </c>
      <c r="U53" s="16" t="s">
        <v>240</v>
      </c>
      <c r="V53" s="20" t="s">
        <v>422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46</v>
      </c>
      <c r="AE53" t="s">
        <v>104</v>
      </c>
      <c r="AF53">
        <v>2</v>
      </c>
    </row>
    <row r="54" spans="1:32" ht="18.95" customHeight="1">
      <c r="A54" s="16">
        <v>3680050</v>
      </c>
      <c r="B54" s="16" t="s">
        <v>408</v>
      </c>
      <c r="C54" s="16" t="s">
        <v>409</v>
      </c>
      <c r="D54" s="16" t="s">
        <v>388</v>
      </c>
      <c r="E54" s="16" t="s">
        <v>388</v>
      </c>
      <c r="F54" s="16" t="s">
        <v>423</v>
      </c>
      <c r="G54" s="16">
        <v>2026</v>
      </c>
      <c r="H54" s="16" t="s">
        <v>34</v>
      </c>
      <c r="I54" s="22" t="s">
        <v>35</v>
      </c>
      <c r="J54" s="25" t="s">
        <v>424</v>
      </c>
      <c r="K54" s="26"/>
      <c r="L54" s="23" t="s">
        <v>52</v>
      </c>
      <c r="M54" s="22" t="s">
        <v>53</v>
      </c>
      <c r="N54" s="26" t="s">
        <v>425</v>
      </c>
      <c r="O54" s="23" t="s">
        <v>392</v>
      </c>
      <c r="P54" s="20" t="s">
        <v>426</v>
      </c>
      <c r="Q54" s="16" t="s">
        <v>41</v>
      </c>
      <c r="R54" s="16" t="s">
        <v>42</v>
      </c>
      <c r="S54" s="16" t="s">
        <v>43</v>
      </c>
      <c r="T54" s="16">
        <v>3213475722</v>
      </c>
      <c r="U54" s="16">
        <v>3057995626</v>
      </c>
      <c r="V54" s="20" t="s">
        <v>427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46</v>
      </c>
      <c r="AB54" t="s">
        <v>428</v>
      </c>
      <c r="AF54">
        <v>2</v>
      </c>
    </row>
    <row r="55" spans="1:32" ht="18.95" customHeight="1">
      <c r="A55" s="16">
        <v>3680054</v>
      </c>
      <c r="B55" s="16" t="s">
        <v>408</v>
      </c>
      <c r="C55" s="16" t="s">
        <v>409</v>
      </c>
      <c r="D55" s="16" t="s">
        <v>388</v>
      </c>
      <c r="E55" s="16" t="s">
        <v>388</v>
      </c>
      <c r="F55" s="16" t="s">
        <v>429</v>
      </c>
      <c r="G55" s="16">
        <v>2026</v>
      </c>
      <c r="H55" s="16" t="s">
        <v>34</v>
      </c>
      <c r="I55" s="22" t="s">
        <v>35</v>
      </c>
      <c r="J55" s="25" t="s">
        <v>430</v>
      </c>
      <c r="K55" s="26"/>
      <c r="L55" s="23" t="s">
        <v>52</v>
      </c>
      <c r="M55" s="22" t="s">
        <v>53</v>
      </c>
      <c r="N55" s="26" t="s">
        <v>431</v>
      </c>
      <c r="O55" s="23" t="s">
        <v>392</v>
      </c>
      <c r="P55" s="20" t="s">
        <v>432</v>
      </c>
      <c r="Q55" s="16" t="s">
        <v>134</v>
      </c>
      <c r="R55" s="16" t="s">
        <v>42</v>
      </c>
      <c r="S55" s="16" t="s">
        <v>135</v>
      </c>
      <c r="T55" s="16">
        <v>3143704135</v>
      </c>
      <c r="U55" s="16" t="s">
        <v>433</v>
      </c>
      <c r="V55" s="20" t="s">
        <v>434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46</v>
      </c>
      <c r="AB55" t="s">
        <v>435</v>
      </c>
      <c r="AF55">
        <v>2</v>
      </c>
    </row>
    <row r="56" spans="1:32" ht="18.95" customHeight="1">
      <c r="A56" s="16">
        <v>3680055</v>
      </c>
      <c r="B56" s="16" t="s">
        <v>408</v>
      </c>
      <c r="C56" s="16" t="s">
        <v>409</v>
      </c>
      <c r="D56" s="16" t="s">
        <v>388</v>
      </c>
      <c r="E56" s="16" t="s">
        <v>388</v>
      </c>
      <c r="F56" s="16" t="s">
        <v>436</v>
      </c>
      <c r="G56" s="16">
        <v>2026</v>
      </c>
      <c r="H56" s="16" t="s">
        <v>34</v>
      </c>
      <c r="I56" s="22" t="s">
        <v>35</v>
      </c>
      <c r="J56" s="25" t="s">
        <v>437</v>
      </c>
      <c r="K56" s="26"/>
      <c r="L56" s="23" t="s">
        <v>52</v>
      </c>
      <c r="M56" s="22" t="s">
        <v>53</v>
      </c>
      <c r="N56" s="26" t="s">
        <v>438</v>
      </c>
      <c r="O56" s="23" t="s">
        <v>439</v>
      </c>
      <c r="P56" s="20" t="s">
        <v>440</v>
      </c>
      <c r="Q56" s="16" t="s">
        <v>134</v>
      </c>
      <c r="R56" s="16" t="s">
        <v>42</v>
      </c>
      <c r="S56" s="16" t="s">
        <v>135</v>
      </c>
      <c r="T56" s="16">
        <v>3154965337</v>
      </c>
      <c r="U56" s="16" t="s">
        <v>433</v>
      </c>
      <c r="V56" s="20" t="s">
        <v>441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46</v>
      </c>
      <c r="AB56" t="s">
        <v>442</v>
      </c>
      <c r="AF56">
        <v>2</v>
      </c>
    </row>
    <row r="57" spans="1:32" ht="18.95" customHeight="1">
      <c r="A57" s="16">
        <v>3679995</v>
      </c>
      <c r="B57" s="16" t="s">
        <v>387</v>
      </c>
      <c r="C57" s="16"/>
      <c r="D57" s="16" t="s">
        <v>388</v>
      </c>
      <c r="E57" s="16" t="s">
        <v>388</v>
      </c>
      <c r="F57" s="16" t="s">
        <v>443</v>
      </c>
      <c r="G57" s="16">
        <v>2026</v>
      </c>
      <c r="H57" s="16" t="s">
        <v>34</v>
      </c>
      <c r="I57" s="22" t="s">
        <v>35</v>
      </c>
      <c r="J57" s="25" t="s">
        <v>444</v>
      </c>
      <c r="K57" s="26"/>
      <c r="L57" s="23" t="s">
        <v>52</v>
      </c>
      <c r="M57" s="22" t="s">
        <v>53</v>
      </c>
      <c r="N57" s="26" t="s">
        <v>445</v>
      </c>
      <c r="O57" s="23" t="s">
        <v>392</v>
      </c>
      <c r="P57" s="20" t="s">
        <v>446</v>
      </c>
      <c r="Q57" s="16" t="s">
        <v>134</v>
      </c>
      <c r="R57" s="16" t="s">
        <v>42</v>
      </c>
      <c r="S57" s="16" t="s">
        <v>135</v>
      </c>
      <c r="T57" s="16">
        <v>3132969330</v>
      </c>
      <c r="U57" s="16" t="s">
        <v>447</v>
      </c>
      <c r="V57" s="20" t="s">
        <v>448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46</v>
      </c>
      <c r="AB57" t="s">
        <v>449</v>
      </c>
      <c r="AF57">
        <v>2</v>
      </c>
    </row>
    <row r="58" spans="1:32" ht="18.95" customHeight="1">
      <c r="A58" s="16">
        <v>3683298</v>
      </c>
      <c r="B58" s="16" t="s">
        <v>65</v>
      </c>
      <c r="C58" s="16" t="s">
        <v>66</v>
      </c>
      <c r="D58" s="16" t="s">
        <v>450</v>
      </c>
      <c r="E58" s="16" t="s">
        <v>450</v>
      </c>
      <c r="F58" s="16" t="s">
        <v>451</v>
      </c>
      <c r="G58" s="16">
        <v>2026</v>
      </c>
      <c r="H58" s="16" t="s">
        <v>34</v>
      </c>
      <c r="I58" s="22" t="s">
        <v>35</v>
      </c>
      <c r="J58" s="25" t="s">
        <v>452</v>
      </c>
      <c r="K58" s="26"/>
      <c r="L58" s="23" t="s">
        <v>69</v>
      </c>
      <c r="M58" s="22" t="s">
        <v>70</v>
      </c>
      <c r="N58" s="26" t="s">
        <v>453</v>
      </c>
      <c r="O58" s="23" t="s">
        <v>419</v>
      </c>
      <c r="P58" s="20" t="s">
        <v>454</v>
      </c>
      <c r="Q58" s="16" t="s">
        <v>73</v>
      </c>
      <c r="R58" s="16" t="s">
        <v>42</v>
      </c>
      <c r="S58" s="16" t="s">
        <v>455</v>
      </c>
      <c r="T58" s="16" t="s">
        <v>456</v>
      </c>
      <c r="U58" s="16" t="s">
        <v>457</v>
      </c>
      <c r="V58" s="20" t="s">
        <v>458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167</v>
      </c>
      <c r="AB58" t="s">
        <v>459</v>
      </c>
      <c r="AD58" t="s">
        <v>460</v>
      </c>
      <c r="AF58">
        <v>2</v>
      </c>
    </row>
    <row r="59" spans="1:32" ht="18.95" customHeight="1">
      <c r="A59" s="16">
        <v>3683348</v>
      </c>
      <c r="B59" s="16" t="s">
        <v>461</v>
      </c>
      <c r="C59" s="16" t="s">
        <v>462</v>
      </c>
      <c r="D59" s="16" t="s">
        <v>450</v>
      </c>
      <c r="E59" s="16" t="s">
        <v>450</v>
      </c>
      <c r="F59" s="16" t="s">
        <v>463</v>
      </c>
      <c r="G59" s="16">
        <v>2026</v>
      </c>
      <c r="H59" s="16" t="s">
        <v>34</v>
      </c>
      <c r="I59" s="22" t="s">
        <v>35</v>
      </c>
      <c r="J59" s="25" t="s">
        <v>464</v>
      </c>
      <c r="K59" s="26" t="s">
        <v>465</v>
      </c>
      <c r="L59" s="23" t="s">
        <v>52</v>
      </c>
      <c r="M59" s="22" t="s">
        <v>53</v>
      </c>
      <c r="N59" s="26" t="s">
        <v>466</v>
      </c>
      <c r="O59" s="23" t="s">
        <v>392</v>
      </c>
      <c r="P59" s="20" t="s">
        <v>467</v>
      </c>
      <c r="Q59" s="16" t="s">
        <v>73</v>
      </c>
      <c r="R59" s="16" t="s">
        <v>42</v>
      </c>
      <c r="S59" s="16" t="s">
        <v>399</v>
      </c>
      <c r="T59" s="16">
        <v>3214903514</v>
      </c>
      <c r="U59" s="16" t="s">
        <v>468</v>
      </c>
      <c r="V59" s="20" t="s">
        <v>469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46</v>
      </c>
      <c r="AB59" t="s">
        <v>470</v>
      </c>
      <c r="AF59">
        <v>2</v>
      </c>
    </row>
    <row r="60" spans="1:32" ht="18.95" customHeight="1">
      <c r="A60" s="16">
        <v>3683607</v>
      </c>
      <c r="B60" s="16" t="s">
        <v>212</v>
      </c>
      <c r="C60" s="16" t="s">
        <v>212</v>
      </c>
      <c r="D60" s="16" t="s">
        <v>450</v>
      </c>
      <c r="E60" s="16" t="s">
        <v>450</v>
      </c>
      <c r="F60" s="16" t="s">
        <v>471</v>
      </c>
      <c r="G60" s="16">
        <v>2026</v>
      </c>
      <c r="H60" s="16" t="s">
        <v>34</v>
      </c>
      <c r="I60" s="22" t="s">
        <v>35</v>
      </c>
      <c r="J60" s="25" t="s">
        <v>472</v>
      </c>
      <c r="K60" s="26"/>
      <c r="L60" s="23" t="s">
        <v>52</v>
      </c>
      <c r="M60" s="22" t="s">
        <v>53</v>
      </c>
      <c r="N60" s="26"/>
      <c r="O60" s="23" t="s">
        <v>439</v>
      </c>
      <c r="P60" s="20" t="s">
        <v>473</v>
      </c>
      <c r="Q60" s="16" t="s">
        <v>73</v>
      </c>
      <c r="R60" s="16" t="s">
        <v>42</v>
      </c>
      <c r="S60" s="16" t="s">
        <v>101</v>
      </c>
      <c r="T60" s="16">
        <v>3175022222</v>
      </c>
      <c r="U60" s="16">
        <v>3153522582</v>
      </c>
      <c r="V60" s="20" t="s">
        <v>474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46</v>
      </c>
      <c r="AF60">
        <v>2</v>
      </c>
    </row>
    <row r="61" spans="1:32" ht="18.95" customHeight="1">
      <c r="A61" s="16">
        <v>3683610</v>
      </c>
      <c r="B61" s="16" t="s">
        <v>475</v>
      </c>
      <c r="C61" s="16" t="s">
        <v>476</v>
      </c>
      <c r="D61" s="16" t="s">
        <v>450</v>
      </c>
      <c r="E61" s="16" t="s">
        <v>450</v>
      </c>
      <c r="F61" s="16" t="s">
        <v>477</v>
      </c>
      <c r="G61" s="16">
        <v>2026</v>
      </c>
      <c r="H61" s="16" t="s">
        <v>34</v>
      </c>
      <c r="I61" s="22" t="s">
        <v>35</v>
      </c>
      <c r="J61" s="25" t="s">
        <v>478</v>
      </c>
      <c r="K61" s="26" t="s">
        <v>479</v>
      </c>
      <c r="L61" s="23" t="s">
        <v>52</v>
      </c>
      <c r="M61" s="22" t="s">
        <v>53</v>
      </c>
      <c r="N61" s="26" t="s">
        <v>480</v>
      </c>
      <c r="O61" s="23" t="s">
        <v>439</v>
      </c>
      <c r="P61" s="20" t="s">
        <v>481</v>
      </c>
      <c r="Q61" s="16" t="s">
        <v>41</v>
      </c>
      <c r="R61" s="16" t="s">
        <v>42</v>
      </c>
      <c r="S61" s="16" t="s">
        <v>43</v>
      </c>
      <c r="T61" s="16">
        <v>3186280302</v>
      </c>
      <c r="U61" s="16" t="s">
        <v>482</v>
      </c>
      <c r="V61" s="20" t="s">
        <v>483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46</v>
      </c>
      <c r="AB61" t="s">
        <v>484</v>
      </c>
      <c r="AF61">
        <v>2</v>
      </c>
    </row>
    <row r="62" spans="1:32" ht="18.95" customHeight="1">
      <c r="A62" s="16">
        <v>3683591</v>
      </c>
      <c r="B62" s="16" t="s">
        <v>30</v>
      </c>
      <c r="C62" s="16" t="s">
        <v>31</v>
      </c>
      <c r="D62" s="16" t="s">
        <v>450</v>
      </c>
      <c r="E62" s="16" t="s">
        <v>450</v>
      </c>
      <c r="F62" s="16" t="s">
        <v>485</v>
      </c>
      <c r="G62" s="16">
        <v>2026</v>
      </c>
      <c r="H62" s="16" t="s">
        <v>34</v>
      </c>
      <c r="I62" s="22" t="s">
        <v>35</v>
      </c>
      <c r="J62" s="25" t="s">
        <v>36</v>
      </c>
      <c r="K62" s="26" t="s">
        <v>486</v>
      </c>
      <c r="L62" s="23" t="s">
        <v>37</v>
      </c>
      <c r="M62" s="22" t="s">
        <v>38</v>
      </c>
      <c r="N62" s="26" t="s">
        <v>487</v>
      </c>
      <c r="O62" s="23" t="s">
        <v>488</v>
      </c>
      <c r="P62" s="16" t="s">
        <v>489</v>
      </c>
      <c r="Q62" s="16" t="s">
        <v>41</v>
      </c>
      <c r="R62" s="16" t="s">
        <v>42</v>
      </c>
      <c r="S62" s="16" t="s">
        <v>43</v>
      </c>
      <c r="T62" s="16">
        <v>3202129355</v>
      </c>
      <c r="U62" s="16">
        <v>3202129355</v>
      </c>
      <c r="V62" s="20" t="s">
        <v>490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46</v>
      </c>
      <c r="AB62" t="s">
        <v>491</v>
      </c>
      <c r="AF62">
        <v>2</v>
      </c>
    </row>
    <row r="63" spans="1:32" ht="18.95" customHeight="1">
      <c r="A63" s="16">
        <v>3683612</v>
      </c>
      <c r="B63" s="16" t="s">
        <v>212</v>
      </c>
      <c r="C63" s="16" t="s">
        <v>212</v>
      </c>
      <c r="D63" s="16" t="s">
        <v>450</v>
      </c>
      <c r="E63" s="16" t="s">
        <v>450</v>
      </c>
      <c r="F63" s="16" t="s">
        <v>492</v>
      </c>
      <c r="G63" s="16">
        <v>2026</v>
      </c>
      <c r="H63" s="16" t="s">
        <v>34</v>
      </c>
      <c r="I63" s="22" t="s">
        <v>35</v>
      </c>
      <c r="J63" s="25" t="s">
        <v>493</v>
      </c>
      <c r="K63" s="26"/>
      <c r="L63" s="23" t="s">
        <v>52</v>
      </c>
      <c r="M63" s="22" t="s">
        <v>53</v>
      </c>
      <c r="N63" s="26"/>
      <c r="O63" s="23" t="s">
        <v>439</v>
      </c>
      <c r="P63" s="20" t="s">
        <v>494</v>
      </c>
      <c r="Q63" s="16" t="s">
        <v>134</v>
      </c>
      <c r="R63" s="16" t="s">
        <v>42</v>
      </c>
      <c r="S63" s="16" t="s">
        <v>135</v>
      </c>
      <c r="T63" s="16">
        <v>3503394887</v>
      </c>
      <c r="U63" s="16">
        <v>3503394887</v>
      </c>
      <c r="V63" s="20" t="s">
        <v>495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46</v>
      </c>
      <c r="AF63">
        <v>2</v>
      </c>
    </row>
    <row r="64" spans="1:32" ht="18.95" customHeight="1">
      <c r="A64" s="16">
        <v>3686736</v>
      </c>
      <c r="B64" s="16" t="s">
        <v>350</v>
      </c>
      <c r="C64" s="16" t="s">
        <v>351</v>
      </c>
      <c r="D64" s="16" t="s">
        <v>496</v>
      </c>
      <c r="E64" s="16" t="s">
        <v>496</v>
      </c>
      <c r="F64" s="16" t="s">
        <v>497</v>
      </c>
      <c r="G64" s="16">
        <v>2026</v>
      </c>
      <c r="H64" s="16" t="s">
        <v>34</v>
      </c>
      <c r="I64" s="22" t="s">
        <v>35</v>
      </c>
      <c r="J64" s="25" t="s">
        <v>498</v>
      </c>
      <c r="K64" s="26"/>
      <c r="L64" s="23" t="s">
        <v>52</v>
      </c>
      <c r="M64" s="22" t="s">
        <v>53</v>
      </c>
      <c r="N64" s="26" t="s">
        <v>499</v>
      </c>
      <c r="O64" s="23" t="s">
        <v>439</v>
      </c>
      <c r="P64" s="20" t="s">
        <v>500</v>
      </c>
      <c r="Q64" s="16" t="s">
        <v>41</v>
      </c>
      <c r="R64" s="16" t="s">
        <v>42</v>
      </c>
      <c r="S64" s="16" t="s">
        <v>43</v>
      </c>
      <c r="T64" s="16" t="s">
        <v>501</v>
      </c>
      <c r="U64" s="16" t="s">
        <v>280</v>
      </c>
      <c r="V64" s="20" t="s">
        <v>502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46</v>
      </c>
      <c r="AB64" t="s">
        <v>503</v>
      </c>
      <c r="AF64">
        <v>2</v>
      </c>
    </row>
    <row r="65" spans="1:32" ht="18.95" customHeight="1">
      <c r="A65" s="16">
        <v>3687074</v>
      </c>
      <c r="B65" s="16" t="s">
        <v>504</v>
      </c>
      <c r="C65" s="16" t="s">
        <v>505</v>
      </c>
      <c r="D65" s="16" t="s">
        <v>496</v>
      </c>
      <c r="E65" s="16" t="s">
        <v>496</v>
      </c>
      <c r="F65" s="16" t="s">
        <v>506</v>
      </c>
      <c r="G65" s="16">
        <v>2026</v>
      </c>
      <c r="H65" s="16" t="s">
        <v>34</v>
      </c>
      <c r="I65" s="22" t="s">
        <v>35</v>
      </c>
      <c r="J65" s="25" t="s">
        <v>507</v>
      </c>
      <c r="K65" s="26" t="s">
        <v>508</v>
      </c>
      <c r="L65" s="23" t="s">
        <v>69</v>
      </c>
      <c r="M65" s="22" t="s">
        <v>509</v>
      </c>
      <c r="N65" s="26"/>
      <c r="O65" s="23" t="s">
        <v>419</v>
      </c>
      <c r="P65" s="20" t="s">
        <v>510</v>
      </c>
      <c r="Q65" s="16" t="s">
        <v>41</v>
      </c>
      <c r="R65" s="16" t="s">
        <v>42</v>
      </c>
      <c r="S65" s="16" t="s">
        <v>43</v>
      </c>
      <c r="T65" s="16">
        <v>3133263867</v>
      </c>
      <c r="U65" s="16" t="s">
        <v>378</v>
      </c>
      <c r="V65" s="20" t="s">
        <v>511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46</v>
      </c>
      <c r="AF65">
        <v>2</v>
      </c>
    </row>
    <row r="66" spans="1:32" ht="18.95" customHeight="1">
      <c r="A66" s="16">
        <v>3687128</v>
      </c>
      <c r="B66" s="16" t="s">
        <v>461</v>
      </c>
      <c r="C66" s="16" t="s">
        <v>462</v>
      </c>
      <c r="D66" s="16" t="s">
        <v>496</v>
      </c>
      <c r="E66" s="16" t="s">
        <v>496</v>
      </c>
      <c r="F66" s="16" t="s">
        <v>512</v>
      </c>
      <c r="G66" s="16">
        <v>2026</v>
      </c>
      <c r="H66" s="16" t="s">
        <v>34</v>
      </c>
      <c r="I66" s="22" t="s">
        <v>35</v>
      </c>
      <c r="J66" s="25" t="s">
        <v>513</v>
      </c>
      <c r="K66" s="26"/>
      <c r="L66" s="23" t="s">
        <v>52</v>
      </c>
      <c r="M66" s="22" t="s">
        <v>53</v>
      </c>
      <c r="N66" s="26" t="s">
        <v>514</v>
      </c>
      <c r="O66" s="23" t="s">
        <v>392</v>
      </c>
      <c r="P66" s="20" t="s">
        <v>515</v>
      </c>
      <c r="Q66" s="16" t="s">
        <v>134</v>
      </c>
      <c r="R66" s="16" t="s">
        <v>81</v>
      </c>
      <c r="S66" s="16" t="s">
        <v>135</v>
      </c>
      <c r="T66" s="16" t="s">
        <v>516</v>
      </c>
      <c r="U66" s="16" t="s">
        <v>517</v>
      </c>
      <c r="V66" s="20" t="s">
        <v>518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46</v>
      </c>
      <c r="AB66" t="s">
        <v>519</v>
      </c>
      <c r="AF66">
        <v>2</v>
      </c>
    </row>
    <row r="67" spans="1:32" ht="29.1">
      <c r="A67" s="16">
        <v>3687196</v>
      </c>
      <c r="B67" s="16" t="s">
        <v>520</v>
      </c>
      <c r="C67" s="16" t="s">
        <v>521</v>
      </c>
      <c r="D67" s="31">
        <v>46227</v>
      </c>
      <c r="E67" s="28">
        <v>46227</v>
      </c>
      <c r="F67" s="29">
        <v>0.65347222222222223</v>
      </c>
      <c r="G67" s="16">
        <v>2026</v>
      </c>
      <c r="H67" s="16" t="s">
        <v>34</v>
      </c>
      <c r="I67" s="22" t="s">
        <v>35</v>
      </c>
      <c r="J67" s="25" t="s">
        <v>522</v>
      </c>
      <c r="K67" s="26"/>
      <c r="L67" s="23" t="s">
        <v>69</v>
      </c>
      <c r="M67" s="22" t="s">
        <v>70</v>
      </c>
      <c r="N67" s="26" t="s">
        <v>523</v>
      </c>
      <c r="O67" s="26" t="s">
        <v>419</v>
      </c>
      <c r="P67" s="20" t="s">
        <v>524</v>
      </c>
      <c r="Q67" s="26" t="s">
        <v>41</v>
      </c>
      <c r="R67" s="26" t="s">
        <v>42</v>
      </c>
      <c r="S67" s="16" t="s">
        <v>43</v>
      </c>
      <c r="T67" s="30">
        <v>3024234177</v>
      </c>
      <c r="U67" s="30">
        <v>3024234177</v>
      </c>
      <c r="V67" s="20" t="s">
        <v>525</v>
      </c>
      <c r="W67">
        <f>WEEKNUM(E67)</f>
        <v>30</v>
      </c>
      <c r="X67">
        <f>MONTH(E67)</f>
        <v>7</v>
      </c>
      <c r="Y67">
        <f>YEAR(E67)</f>
        <v>2026</v>
      </c>
      <c r="Z67" t="str">
        <f>_xlfn.CONCAT(W67,"-",Y67)</f>
        <v>30-2026</v>
      </c>
      <c r="AA67" t="s">
        <v>46</v>
      </c>
      <c r="AF67">
        <v>2</v>
      </c>
    </row>
    <row r="68" spans="1:32" ht="29.1">
      <c r="A68" s="16">
        <v>3687205</v>
      </c>
      <c r="B68" s="16" t="s">
        <v>526</v>
      </c>
      <c r="C68" s="16" t="s">
        <v>527</v>
      </c>
      <c r="D68" s="31">
        <v>46227</v>
      </c>
      <c r="E68" s="28">
        <v>46227</v>
      </c>
      <c r="F68" s="29">
        <v>0.66388888888888886</v>
      </c>
      <c r="G68" s="16">
        <v>2026</v>
      </c>
      <c r="H68" s="16" t="s">
        <v>34</v>
      </c>
      <c r="I68" s="22" t="s">
        <v>35</v>
      </c>
      <c r="J68" s="25" t="s">
        <v>528</v>
      </c>
      <c r="K68" s="26"/>
      <c r="L68" s="23" t="s">
        <v>69</v>
      </c>
      <c r="M68" s="22" t="s">
        <v>70</v>
      </c>
      <c r="N68" s="26"/>
      <c r="O68" s="26" t="s">
        <v>419</v>
      </c>
      <c r="P68" s="20" t="s">
        <v>529</v>
      </c>
      <c r="Q68" s="26" t="s">
        <v>530</v>
      </c>
      <c r="R68" s="26" t="s">
        <v>42</v>
      </c>
      <c r="S68" s="16" t="s">
        <v>399</v>
      </c>
      <c r="T68" s="30" t="s">
        <v>531</v>
      </c>
      <c r="U68" s="30" t="s">
        <v>532</v>
      </c>
      <c r="V68" s="20" t="s">
        <v>533</v>
      </c>
      <c r="W68">
        <f>WEEKNUM(E68)</f>
        <v>30</v>
      </c>
      <c r="X68">
        <f>MONTH(E68)</f>
        <v>7</v>
      </c>
      <c r="Y68">
        <f>YEAR(E68)</f>
        <v>2026</v>
      </c>
      <c r="Z68" t="str">
        <f>_xlfn.CONCAT(W68,"-",Y68)</f>
        <v>30-2026</v>
      </c>
      <c r="AA68" t="s">
        <v>46</v>
      </c>
      <c r="AF68">
        <v>2</v>
      </c>
    </row>
    <row r="69" spans="1:32" ht="29.1">
      <c r="A69" s="16">
        <v>3687227</v>
      </c>
      <c r="B69" s="16" t="s">
        <v>350</v>
      </c>
      <c r="C69" s="16" t="s">
        <v>351</v>
      </c>
      <c r="D69" s="31">
        <v>46227</v>
      </c>
      <c r="E69" s="28">
        <v>46227</v>
      </c>
      <c r="F69" s="29">
        <v>0.7104166666666667</v>
      </c>
      <c r="G69" s="16">
        <v>2026</v>
      </c>
      <c r="H69" s="16" t="s">
        <v>34</v>
      </c>
      <c r="I69" s="22" t="s">
        <v>35</v>
      </c>
      <c r="J69" s="25" t="s">
        <v>534</v>
      </c>
      <c r="K69" s="26"/>
      <c r="L69" s="23" t="s">
        <v>52</v>
      </c>
      <c r="M69" s="22" t="s">
        <v>53</v>
      </c>
      <c r="N69" s="26"/>
      <c r="O69" s="26" t="s">
        <v>439</v>
      </c>
      <c r="P69" s="20" t="s">
        <v>535</v>
      </c>
      <c r="Q69" s="26" t="s">
        <v>134</v>
      </c>
      <c r="R69" s="26" t="s">
        <v>42</v>
      </c>
      <c r="S69" s="16" t="s">
        <v>135</v>
      </c>
      <c r="T69" s="30">
        <v>3024817872</v>
      </c>
      <c r="U69" s="30" t="s">
        <v>406</v>
      </c>
      <c r="V69" s="20" t="s">
        <v>536</v>
      </c>
      <c r="W69">
        <f>WEEKNUM(E69)</f>
        <v>30</v>
      </c>
      <c r="X69">
        <f>MONTH(E69)</f>
        <v>7</v>
      </c>
      <c r="Y69">
        <f>YEAR(E69)</f>
        <v>2026</v>
      </c>
      <c r="Z69" t="str">
        <f>_xlfn.CONCAT(W69,"-",Y69)</f>
        <v>30-2026</v>
      </c>
      <c r="AA69" t="s">
        <v>46</v>
      </c>
      <c r="AF69">
        <v>2</v>
      </c>
    </row>
    <row r="70" spans="1:32" ht="29.1">
      <c r="A70" s="16">
        <v>3687230</v>
      </c>
      <c r="B70" s="16" t="s">
        <v>537</v>
      </c>
      <c r="C70" s="16" t="s">
        <v>538</v>
      </c>
      <c r="D70" s="31">
        <v>46227</v>
      </c>
      <c r="E70" s="28">
        <v>46227</v>
      </c>
      <c r="F70" s="29">
        <v>0.72291666666666665</v>
      </c>
      <c r="G70" s="16">
        <v>2026</v>
      </c>
      <c r="H70" s="16" t="s">
        <v>34</v>
      </c>
      <c r="I70" s="22" t="s">
        <v>35</v>
      </c>
      <c r="J70" s="25" t="s">
        <v>539</v>
      </c>
      <c r="K70" s="26"/>
      <c r="L70" s="23" t="s">
        <v>52</v>
      </c>
      <c r="M70" s="22" t="s">
        <v>53</v>
      </c>
      <c r="N70" s="26"/>
      <c r="O70" s="26" t="s">
        <v>392</v>
      </c>
      <c r="P70" s="20" t="s">
        <v>540</v>
      </c>
      <c r="Q70" s="26" t="s">
        <v>41</v>
      </c>
      <c r="R70" s="26" t="s">
        <v>81</v>
      </c>
      <c r="S70" s="16" t="s">
        <v>43</v>
      </c>
      <c r="T70" s="30">
        <v>3114910947</v>
      </c>
      <c r="U70" s="30" t="s">
        <v>371</v>
      </c>
      <c r="V70" s="20" t="s">
        <v>541</v>
      </c>
      <c r="W70">
        <f>WEEKNUM(E70)</f>
        <v>30</v>
      </c>
      <c r="X70">
        <f>MONTH(E70)</f>
        <v>7</v>
      </c>
      <c r="Y70">
        <f>YEAR(E70)</f>
        <v>2026</v>
      </c>
      <c r="Z70" t="str">
        <f>_xlfn.CONCAT(W70,"-",Y70)</f>
        <v>30-2026</v>
      </c>
      <c r="AA70" t="s">
        <v>167</v>
      </c>
      <c r="AD70" t="s">
        <v>542</v>
      </c>
      <c r="AF70">
        <v>2</v>
      </c>
    </row>
    <row r="71" spans="1:32" ht="22.5" customHeight="1">
      <c r="A71" s="16">
        <v>3687232</v>
      </c>
      <c r="B71" s="16" t="s">
        <v>387</v>
      </c>
      <c r="C71" s="16"/>
      <c r="D71" s="31">
        <v>46227</v>
      </c>
      <c r="E71" s="28">
        <v>46227</v>
      </c>
      <c r="F71" s="29">
        <v>0.72361111111111109</v>
      </c>
      <c r="G71" s="16">
        <v>2026</v>
      </c>
      <c r="H71" s="16" t="s">
        <v>34</v>
      </c>
      <c r="I71" s="22" t="s">
        <v>35</v>
      </c>
      <c r="J71" s="25" t="s">
        <v>543</v>
      </c>
      <c r="K71" s="26"/>
      <c r="L71" s="23" t="s">
        <v>52</v>
      </c>
      <c r="M71" s="22" t="s">
        <v>53</v>
      </c>
      <c r="N71" s="26" t="s">
        <v>544</v>
      </c>
      <c r="O71" s="26" t="s">
        <v>392</v>
      </c>
      <c r="P71" s="20" t="s">
        <v>545</v>
      </c>
      <c r="Q71" s="26" t="s">
        <v>134</v>
      </c>
      <c r="R71" s="26" t="s">
        <v>81</v>
      </c>
      <c r="S71" s="16" t="s">
        <v>43</v>
      </c>
      <c r="T71" s="30">
        <v>3142715094</v>
      </c>
      <c r="U71" s="30" t="s">
        <v>371</v>
      </c>
      <c r="V71" s="20" t="s">
        <v>546</v>
      </c>
      <c r="W71">
        <f>WEEKNUM(E71)</f>
        <v>30</v>
      </c>
      <c r="X71">
        <f>MONTH(E71)</f>
        <v>7</v>
      </c>
      <c r="Y71">
        <f>YEAR(E71)</f>
        <v>2026</v>
      </c>
      <c r="Z71" t="str">
        <f>_xlfn.CONCAT(W71,"-",Y71)</f>
        <v>30-2026</v>
      </c>
      <c r="AA71" t="s">
        <v>46</v>
      </c>
      <c r="AF71">
        <v>2</v>
      </c>
    </row>
    <row r="72" spans="1:32" ht="29.1">
      <c r="A72" s="16">
        <v>3687233</v>
      </c>
      <c r="B72" s="16" t="s">
        <v>537</v>
      </c>
      <c r="C72" s="16" t="s">
        <v>538</v>
      </c>
      <c r="D72" s="31">
        <v>46227</v>
      </c>
      <c r="E72" s="28">
        <v>46227</v>
      </c>
      <c r="F72" s="29">
        <v>0.72777777777777775</v>
      </c>
      <c r="G72" s="16">
        <v>2026</v>
      </c>
      <c r="H72" s="16" t="s">
        <v>34</v>
      </c>
      <c r="I72" s="22" t="s">
        <v>35</v>
      </c>
      <c r="J72" s="25" t="s">
        <v>547</v>
      </c>
      <c r="K72" s="26"/>
      <c r="L72" s="23" t="s">
        <v>52</v>
      </c>
      <c r="M72" s="22" t="s">
        <v>53</v>
      </c>
      <c r="N72" s="26"/>
      <c r="O72" s="26" t="s">
        <v>392</v>
      </c>
      <c r="P72" s="20" t="s">
        <v>548</v>
      </c>
      <c r="Q72" s="26" t="s">
        <v>41</v>
      </c>
      <c r="R72" s="26" t="s">
        <v>81</v>
      </c>
      <c r="S72" s="16" t="s">
        <v>43</v>
      </c>
      <c r="T72" s="30" t="s">
        <v>549</v>
      </c>
      <c r="U72" s="30" t="s">
        <v>371</v>
      </c>
      <c r="V72" s="20" t="s">
        <v>550</v>
      </c>
      <c r="W72">
        <f>WEEKNUM(E72)</f>
        <v>30</v>
      </c>
      <c r="X72">
        <f>MONTH(E72)</f>
        <v>7</v>
      </c>
      <c r="Y72">
        <f>YEAR(E72)</f>
        <v>2026</v>
      </c>
      <c r="Z72" t="str">
        <f>_xlfn.CONCAT(W72,"-",Y72)</f>
        <v>30-2026</v>
      </c>
      <c r="AA72" t="s">
        <v>46</v>
      </c>
      <c r="AF72">
        <v>2</v>
      </c>
    </row>
    <row r="73" spans="1:32" ht="22.5" customHeight="1">
      <c r="A73" s="16">
        <v>3687238</v>
      </c>
      <c r="B73" s="16" t="s">
        <v>387</v>
      </c>
      <c r="C73" s="16"/>
      <c r="D73" s="31">
        <v>46227</v>
      </c>
      <c r="E73" s="28">
        <v>46227</v>
      </c>
      <c r="F73" s="29">
        <v>0.7319444444444444</v>
      </c>
      <c r="G73" s="16">
        <v>2026</v>
      </c>
      <c r="H73" s="16" t="s">
        <v>34</v>
      </c>
      <c r="I73" s="22" t="s">
        <v>35</v>
      </c>
      <c r="J73" s="25" t="s">
        <v>551</v>
      </c>
      <c r="K73" s="26"/>
      <c r="L73" s="23" t="s">
        <v>52</v>
      </c>
      <c r="M73" s="22" t="s">
        <v>53</v>
      </c>
      <c r="N73" s="26"/>
      <c r="O73" s="26" t="s">
        <v>392</v>
      </c>
      <c r="P73" s="20" t="s">
        <v>552</v>
      </c>
      <c r="Q73" s="26" t="s">
        <v>134</v>
      </c>
      <c r="R73" s="26" t="s">
        <v>42</v>
      </c>
      <c r="S73" s="16" t="s">
        <v>135</v>
      </c>
      <c r="T73" s="30" t="s">
        <v>553</v>
      </c>
      <c r="U73" s="30" t="s">
        <v>554</v>
      </c>
      <c r="V73" s="20" t="s">
        <v>555</v>
      </c>
      <c r="W73">
        <f>WEEKNUM(E73)</f>
        <v>30</v>
      </c>
      <c r="X73">
        <f>MONTH(E73)</f>
        <v>7</v>
      </c>
      <c r="Y73">
        <f>YEAR(E73)</f>
        <v>2026</v>
      </c>
      <c r="Z73" t="str">
        <f>_xlfn.CONCAT(W73,"-",Y73)</f>
        <v>30-2026</v>
      </c>
      <c r="AA73" t="s">
        <v>46</v>
      </c>
      <c r="AF73">
        <v>2</v>
      </c>
    </row>
    <row r="74" spans="1:32" ht="29.1">
      <c r="A74" s="16">
        <v>3687240</v>
      </c>
      <c r="B74" s="16" t="s">
        <v>556</v>
      </c>
      <c r="C74" s="16" t="s">
        <v>557</v>
      </c>
      <c r="D74" s="31">
        <v>46227</v>
      </c>
      <c r="E74" s="28">
        <v>46227</v>
      </c>
      <c r="F74" s="29">
        <v>0.73263888888888884</v>
      </c>
      <c r="G74" s="16">
        <v>2026</v>
      </c>
      <c r="H74" s="16" t="s">
        <v>34</v>
      </c>
      <c r="I74" s="22" t="s">
        <v>35</v>
      </c>
      <c r="J74" s="25" t="s">
        <v>558</v>
      </c>
      <c r="K74" s="26"/>
      <c r="L74" s="23" t="s">
        <v>52</v>
      </c>
      <c r="M74" s="22" t="s">
        <v>53</v>
      </c>
      <c r="N74" s="26"/>
      <c r="O74" s="26" t="s">
        <v>439</v>
      </c>
      <c r="P74" s="20" t="s">
        <v>559</v>
      </c>
      <c r="Q74" s="26" t="s">
        <v>134</v>
      </c>
      <c r="R74" s="26" t="s">
        <v>81</v>
      </c>
      <c r="S74" s="16" t="s">
        <v>101</v>
      </c>
      <c r="T74" s="30" t="s">
        <v>560</v>
      </c>
      <c r="U74" s="30" t="s">
        <v>561</v>
      </c>
      <c r="V74" s="20" t="s">
        <v>562</v>
      </c>
      <c r="W74">
        <f>WEEKNUM(E74)</f>
        <v>30</v>
      </c>
      <c r="X74">
        <f>MONTH(E74)</f>
        <v>7</v>
      </c>
      <c r="Y74">
        <f>YEAR(E74)</f>
        <v>2026</v>
      </c>
      <c r="Z74" t="str">
        <f>_xlfn.CONCAT(W74,"-",Y74)</f>
        <v>30-2026</v>
      </c>
      <c r="AA74" s="27" t="s">
        <v>363</v>
      </c>
      <c r="AF74">
        <v>2</v>
      </c>
    </row>
    <row r="75" spans="1:32" ht="29.25">
      <c r="A75" s="16">
        <v>3687244</v>
      </c>
      <c r="B75" s="16" t="s">
        <v>537</v>
      </c>
      <c r="C75" s="16" t="s">
        <v>538</v>
      </c>
      <c r="D75" s="31">
        <v>46227</v>
      </c>
      <c r="E75" s="28">
        <v>46227</v>
      </c>
      <c r="F75" s="29">
        <v>0.73958333333333337</v>
      </c>
      <c r="G75" s="16">
        <v>2026</v>
      </c>
      <c r="H75" s="16" t="s">
        <v>34</v>
      </c>
      <c r="I75" s="22" t="s">
        <v>35</v>
      </c>
      <c r="J75" s="25" t="s">
        <v>563</v>
      </c>
      <c r="K75" s="26"/>
      <c r="L75" s="23" t="s">
        <v>52</v>
      </c>
      <c r="M75" s="22" t="s">
        <v>53</v>
      </c>
      <c r="N75" s="26"/>
      <c r="O75" s="26" t="s">
        <v>392</v>
      </c>
      <c r="P75" s="20" t="s">
        <v>564</v>
      </c>
      <c r="Q75" s="26" t="s">
        <v>41</v>
      </c>
      <c r="R75" s="26" t="s">
        <v>81</v>
      </c>
      <c r="S75" s="16" t="s">
        <v>43</v>
      </c>
      <c r="T75" s="30">
        <v>3105726862</v>
      </c>
      <c r="U75" s="30" t="s">
        <v>371</v>
      </c>
      <c r="V75" s="20" t="s">
        <v>565</v>
      </c>
      <c r="W75">
        <f>WEEKNUM(E75)</f>
        <v>30</v>
      </c>
      <c r="X75">
        <f>MONTH(E75)</f>
        <v>7</v>
      </c>
      <c r="Y75">
        <f>YEAR(E75)</f>
        <v>2026</v>
      </c>
      <c r="Z75" t="str">
        <f>_xlfn.CONCAT(W75,"-",Y75)</f>
        <v>30-2026</v>
      </c>
      <c r="AF75">
        <v>2</v>
      </c>
    </row>
    <row r="76" spans="1:32" ht="29.25">
      <c r="A76" s="16">
        <v>3687254</v>
      </c>
      <c r="B76" s="16" t="s">
        <v>350</v>
      </c>
      <c r="C76" s="16" t="s">
        <v>351</v>
      </c>
      <c r="D76" s="31">
        <v>46227</v>
      </c>
      <c r="E76" s="28">
        <v>46227</v>
      </c>
      <c r="F76" s="29">
        <v>0.7416666666666667</v>
      </c>
      <c r="G76" s="16">
        <v>2026</v>
      </c>
      <c r="H76" s="16" t="s">
        <v>34</v>
      </c>
      <c r="I76" s="22" t="s">
        <v>35</v>
      </c>
      <c r="J76" s="25" t="s">
        <v>566</v>
      </c>
      <c r="K76" s="26"/>
      <c r="L76" s="23" t="s">
        <v>52</v>
      </c>
      <c r="M76" s="22" t="s">
        <v>53</v>
      </c>
      <c r="N76" s="26" t="s">
        <v>567</v>
      </c>
      <c r="O76" s="26" t="s">
        <v>439</v>
      </c>
      <c r="P76" s="20" t="s">
        <v>568</v>
      </c>
      <c r="Q76" s="26" t="s">
        <v>41</v>
      </c>
      <c r="R76" s="26" t="s">
        <v>81</v>
      </c>
      <c r="S76" s="16" t="s">
        <v>43</v>
      </c>
      <c r="T76" s="30">
        <v>3154720372</v>
      </c>
      <c r="U76" s="30" t="s">
        <v>569</v>
      </c>
      <c r="V76" s="20" t="s">
        <v>570</v>
      </c>
      <c r="W76">
        <f>WEEKNUM(E76)</f>
        <v>30</v>
      </c>
      <c r="X76">
        <f>MONTH(E76)</f>
        <v>7</v>
      </c>
      <c r="Y76">
        <f>YEAR(E76)</f>
        <v>2026</v>
      </c>
      <c r="Z76" t="str">
        <f>_xlfn.CONCAT(W76,"-",Y76)</f>
        <v>30-2026</v>
      </c>
      <c r="AF76">
        <v>2</v>
      </c>
    </row>
    <row r="77" spans="1:32" ht="29.25">
      <c r="A77" s="16">
        <v>3687255</v>
      </c>
      <c r="B77" s="16" t="s">
        <v>350</v>
      </c>
      <c r="C77" s="16" t="s">
        <v>351</v>
      </c>
      <c r="D77" s="31">
        <v>46227</v>
      </c>
      <c r="E77" s="28">
        <v>46227</v>
      </c>
      <c r="F77" s="29">
        <v>0.74444444444444446</v>
      </c>
      <c r="G77" s="16">
        <v>2026</v>
      </c>
      <c r="H77" s="16" t="s">
        <v>34</v>
      </c>
      <c r="I77" s="22" t="s">
        <v>35</v>
      </c>
      <c r="J77" s="25" t="s">
        <v>571</v>
      </c>
      <c r="K77" s="26"/>
      <c r="L77" s="23" t="s">
        <v>52</v>
      </c>
      <c r="M77" s="22" t="s">
        <v>53</v>
      </c>
      <c r="N77" s="26" t="s">
        <v>572</v>
      </c>
      <c r="O77" s="26" t="s">
        <v>439</v>
      </c>
      <c r="P77" s="20" t="s">
        <v>573</v>
      </c>
      <c r="Q77" s="26" t="s">
        <v>134</v>
      </c>
      <c r="R77" s="26" t="s">
        <v>81</v>
      </c>
      <c r="S77" s="16" t="s">
        <v>421</v>
      </c>
      <c r="T77" s="30">
        <v>3142935162</v>
      </c>
      <c r="U77" s="30" t="s">
        <v>280</v>
      </c>
      <c r="V77" s="20" t="s">
        <v>574</v>
      </c>
      <c r="W77">
        <f>WEEKNUM(E77)</f>
        <v>30</v>
      </c>
      <c r="X77">
        <f>MONTH(E77)</f>
        <v>7</v>
      </c>
      <c r="Y77">
        <f>YEAR(E77)</f>
        <v>2026</v>
      </c>
      <c r="Z77" t="str">
        <f>_xlfn.CONCAT(W77,"-",Y77)</f>
        <v>30-2026</v>
      </c>
      <c r="AF77">
        <v>2</v>
      </c>
    </row>
    <row r="78" spans="1:32" ht="29.25">
      <c r="A78" s="16">
        <v>3687264</v>
      </c>
      <c r="B78" s="16" t="s">
        <v>212</v>
      </c>
      <c r="C78" s="16" t="s">
        <v>212</v>
      </c>
      <c r="D78" s="31">
        <v>46227</v>
      </c>
      <c r="E78" s="28">
        <v>46227</v>
      </c>
      <c r="F78" s="29">
        <v>0.75763888888888886</v>
      </c>
      <c r="G78" s="16">
        <v>2026</v>
      </c>
      <c r="H78" s="16" t="s">
        <v>34</v>
      </c>
      <c r="I78" s="22" t="s">
        <v>35</v>
      </c>
      <c r="J78" s="25" t="s">
        <v>575</v>
      </c>
      <c r="K78" s="26"/>
      <c r="L78" s="23" t="s">
        <v>52</v>
      </c>
      <c r="M78" s="22" t="s">
        <v>53</v>
      </c>
      <c r="N78" s="26"/>
      <c r="O78" s="26" t="s">
        <v>439</v>
      </c>
      <c r="P78" s="20" t="s">
        <v>576</v>
      </c>
      <c r="Q78" s="26" t="s">
        <v>134</v>
      </c>
      <c r="R78" s="26" t="s">
        <v>81</v>
      </c>
      <c r="S78" s="16" t="s">
        <v>43</v>
      </c>
      <c r="T78" s="30">
        <v>3115734621</v>
      </c>
      <c r="U78" s="30">
        <v>3115734621</v>
      </c>
      <c r="V78" s="20" t="s">
        <v>577</v>
      </c>
      <c r="W78">
        <f>WEEKNUM(E78)</f>
        <v>30</v>
      </c>
      <c r="X78">
        <f>MONTH(E78)</f>
        <v>7</v>
      </c>
      <c r="Y78">
        <f>YEAR(E78)</f>
        <v>2026</v>
      </c>
      <c r="Z78" t="str">
        <f>_xlfn.CONCAT(W78,"-",Y78)</f>
        <v>30-2026</v>
      </c>
      <c r="AF78">
        <v>2</v>
      </c>
    </row>
    <row r="79" spans="1:32" ht="29.25">
      <c r="A79" s="16">
        <v>3690383</v>
      </c>
      <c r="B79" s="16" t="s">
        <v>537</v>
      </c>
      <c r="C79" s="16" t="s">
        <v>538</v>
      </c>
      <c r="D79" s="31">
        <v>46228</v>
      </c>
      <c r="E79" s="28">
        <v>46228</v>
      </c>
      <c r="F79" s="29">
        <v>0.38124999999999998</v>
      </c>
      <c r="G79" s="16">
        <v>2026</v>
      </c>
      <c r="H79" s="16" t="s">
        <v>34</v>
      </c>
      <c r="I79" s="22" t="s">
        <v>35</v>
      </c>
      <c r="J79" s="25" t="s">
        <v>578</v>
      </c>
      <c r="K79" s="26"/>
      <c r="L79" s="23" t="s">
        <v>37</v>
      </c>
      <c r="M79" s="22" t="s">
        <v>579</v>
      </c>
      <c r="N79" s="26" t="s">
        <v>580</v>
      </c>
      <c r="O79" s="26" t="s">
        <v>392</v>
      </c>
      <c r="P79" s="20" t="s">
        <v>581</v>
      </c>
      <c r="Q79" s="26" t="s">
        <v>530</v>
      </c>
      <c r="R79" s="26" t="s">
        <v>81</v>
      </c>
      <c r="S79" s="16" t="s">
        <v>82</v>
      </c>
      <c r="T79" s="30">
        <v>3184196150</v>
      </c>
      <c r="U79" s="30" t="s">
        <v>371</v>
      </c>
      <c r="V79" s="20" t="s">
        <v>582</v>
      </c>
      <c r="W79">
        <f>WEEKNUM(E79)</f>
        <v>30</v>
      </c>
      <c r="X79">
        <f>MONTH(E79)</f>
        <v>7</v>
      </c>
      <c r="Y79">
        <f>YEAR(E79)</f>
        <v>2026</v>
      </c>
      <c r="Z79" t="str">
        <f>_xlfn.CONCAT(W79,"-",Y79)</f>
        <v>30-2026</v>
      </c>
      <c r="AF79">
        <v>2</v>
      </c>
    </row>
    <row r="80" spans="1:32" ht="26.1" customHeight="1">
      <c r="A80" s="16">
        <v>3690504</v>
      </c>
      <c r="B80" s="16" t="s">
        <v>583</v>
      </c>
      <c r="C80" s="16" t="s">
        <v>584</v>
      </c>
      <c r="D80" s="31">
        <v>46228</v>
      </c>
      <c r="E80" s="28">
        <v>46228</v>
      </c>
      <c r="F80" s="29">
        <v>0.56319444444444444</v>
      </c>
      <c r="G80" s="16">
        <v>2026</v>
      </c>
      <c r="H80" s="16" t="s">
        <v>34</v>
      </c>
      <c r="I80" s="22" t="s">
        <v>35</v>
      </c>
      <c r="J80" s="25" t="s">
        <v>585</v>
      </c>
      <c r="K80" s="26"/>
      <c r="L80" s="23" t="s">
        <v>52</v>
      </c>
      <c r="M80" s="22" t="s">
        <v>53</v>
      </c>
      <c r="N80" s="26" t="s">
        <v>586</v>
      </c>
      <c r="O80" s="26" t="s">
        <v>439</v>
      </c>
      <c r="P80" s="20" t="s">
        <v>587</v>
      </c>
      <c r="Q80" s="26" t="s">
        <v>41</v>
      </c>
      <c r="R80" s="26" t="s">
        <v>81</v>
      </c>
      <c r="S80" s="16" t="s">
        <v>43</v>
      </c>
      <c r="T80" s="30">
        <v>3142980570</v>
      </c>
      <c r="U80" s="30" t="s">
        <v>371</v>
      </c>
      <c r="V80" s="20" t="s">
        <v>588</v>
      </c>
      <c r="W80">
        <f>WEEKNUM(E80)</f>
        <v>30</v>
      </c>
      <c r="X80">
        <f>MONTH(E80)</f>
        <v>7</v>
      </c>
      <c r="Y80">
        <f>YEAR(E80)</f>
        <v>2026</v>
      </c>
      <c r="Z80" t="str">
        <f>_xlfn.CONCAT(W80,"-",Y80)</f>
        <v>30-2026</v>
      </c>
      <c r="AF80">
        <v>2</v>
      </c>
    </row>
    <row r="81" spans="1:32" ht="29.25">
      <c r="A81" s="16">
        <v>3690509</v>
      </c>
      <c r="B81" s="16" t="s">
        <v>589</v>
      </c>
      <c r="C81" s="16" t="s">
        <v>590</v>
      </c>
      <c r="D81" s="31">
        <v>46228</v>
      </c>
      <c r="E81" s="28">
        <v>46228</v>
      </c>
      <c r="F81" s="29">
        <v>0.57777777777777772</v>
      </c>
      <c r="G81" s="16">
        <v>2026</v>
      </c>
      <c r="H81" s="16" t="s">
        <v>34</v>
      </c>
      <c r="I81" s="22" t="s">
        <v>35</v>
      </c>
      <c r="J81" s="25" t="s">
        <v>591</v>
      </c>
      <c r="K81" s="26"/>
      <c r="L81" s="23" t="s">
        <v>69</v>
      </c>
      <c r="M81" s="22" t="s">
        <v>579</v>
      </c>
      <c r="N81" s="26" t="s">
        <v>592</v>
      </c>
      <c r="O81" s="26" t="s">
        <v>419</v>
      </c>
      <c r="P81" s="20" t="s">
        <v>593</v>
      </c>
      <c r="Q81" s="26" t="s">
        <v>41</v>
      </c>
      <c r="R81" s="26" t="s">
        <v>42</v>
      </c>
      <c r="S81" s="16" t="s">
        <v>135</v>
      </c>
      <c r="T81" s="30">
        <v>3214953993</v>
      </c>
      <c r="U81" s="30"/>
      <c r="V81" s="20" t="s">
        <v>594</v>
      </c>
      <c r="W81">
        <f>WEEKNUM(E81)</f>
        <v>30</v>
      </c>
      <c r="X81">
        <f>MONTH(E81)</f>
        <v>7</v>
      </c>
      <c r="Y81">
        <f>YEAR(E81)</f>
        <v>2026</v>
      </c>
      <c r="Z81" t="str">
        <f>_xlfn.CONCAT(W81,"-",Y81)</f>
        <v>30-2026</v>
      </c>
      <c r="AF81">
        <v>2</v>
      </c>
    </row>
    <row r="82" spans="1:32" ht="29.25">
      <c r="A82" s="16">
        <v>3690581</v>
      </c>
      <c r="B82" s="16" t="s">
        <v>350</v>
      </c>
      <c r="C82" s="16" t="s">
        <v>351</v>
      </c>
      <c r="D82" s="31">
        <v>46228</v>
      </c>
      <c r="E82" s="28">
        <v>46228</v>
      </c>
      <c r="F82" s="29">
        <v>0.75416666666666665</v>
      </c>
      <c r="G82" s="16">
        <v>2026</v>
      </c>
      <c r="H82" s="16" t="s">
        <v>34</v>
      </c>
      <c r="I82" s="22" t="s">
        <v>35</v>
      </c>
      <c r="J82" s="25" t="s">
        <v>595</v>
      </c>
      <c r="K82" s="26"/>
      <c r="L82" s="23" t="s">
        <v>52</v>
      </c>
      <c r="M82" s="22" t="s">
        <v>53</v>
      </c>
      <c r="N82" s="26" t="s">
        <v>596</v>
      </c>
      <c r="O82" s="26" t="s">
        <v>439</v>
      </c>
      <c r="P82" s="20" t="s">
        <v>597</v>
      </c>
      <c r="Q82" s="26" t="s">
        <v>530</v>
      </c>
      <c r="R82" s="26" t="s">
        <v>42</v>
      </c>
      <c r="S82" s="16" t="s">
        <v>399</v>
      </c>
      <c r="T82" s="30">
        <v>3176427845</v>
      </c>
      <c r="U82" s="30" t="s">
        <v>406</v>
      </c>
      <c r="V82" s="20" t="s">
        <v>598</v>
      </c>
      <c r="W82">
        <f>WEEKNUM(E82)</f>
        <v>30</v>
      </c>
      <c r="X82">
        <f>MONTH(E82)</f>
        <v>7</v>
      </c>
      <c r="Y82">
        <f>YEAR(E82)</f>
        <v>2026</v>
      </c>
      <c r="Z82" t="str">
        <f>_xlfn.CONCAT(W82,"-",Y82)</f>
        <v>30-2026</v>
      </c>
      <c r="AF82">
        <v>2</v>
      </c>
    </row>
    <row r="83" spans="1:32" ht="29.25">
      <c r="A83" s="16">
        <v>3690583</v>
      </c>
      <c r="B83" s="16" t="s">
        <v>350</v>
      </c>
      <c r="C83" s="16" t="s">
        <v>351</v>
      </c>
      <c r="D83" s="31">
        <v>46228</v>
      </c>
      <c r="E83" s="28">
        <v>46228</v>
      </c>
      <c r="F83" s="29">
        <v>0.75902777777777775</v>
      </c>
      <c r="G83" s="16">
        <v>2026</v>
      </c>
      <c r="H83" s="16" t="s">
        <v>34</v>
      </c>
      <c r="I83" s="22" t="s">
        <v>35</v>
      </c>
      <c r="J83" s="25" t="s">
        <v>599</v>
      </c>
      <c r="K83" s="26"/>
      <c r="L83" s="23" t="s">
        <v>52</v>
      </c>
      <c r="M83" s="22" t="s">
        <v>53</v>
      </c>
      <c r="N83" s="26" t="s">
        <v>600</v>
      </c>
      <c r="O83" s="26" t="s">
        <v>439</v>
      </c>
      <c r="P83" s="20" t="s">
        <v>601</v>
      </c>
      <c r="Q83" s="26" t="s">
        <v>41</v>
      </c>
      <c r="R83" s="26" t="s">
        <v>81</v>
      </c>
      <c r="S83" s="16" t="s">
        <v>43</v>
      </c>
      <c r="T83" s="30">
        <v>3125357136</v>
      </c>
      <c r="U83" s="30" t="s">
        <v>406</v>
      </c>
      <c r="V83" s="20" t="s">
        <v>602</v>
      </c>
      <c r="W83">
        <f>WEEKNUM(E83)</f>
        <v>30</v>
      </c>
      <c r="X83">
        <f>MONTH(E83)</f>
        <v>7</v>
      </c>
      <c r="Y83">
        <f>YEAR(E83)</f>
        <v>2026</v>
      </c>
      <c r="Z83" t="str">
        <f>_xlfn.CONCAT(W83,"-",Y83)</f>
        <v>30-2026</v>
      </c>
      <c r="AF83">
        <v>2</v>
      </c>
    </row>
    <row r="84" spans="1:32" ht="29.25">
      <c r="A84" s="16">
        <v>3690591</v>
      </c>
      <c r="B84" s="16" t="s">
        <v>350</v>
      </c>
      <c r="C84" s="16" t="s">
        <v>351</v>
      </c>
      <c r="D84" s="31">
        <v>46228</v>
      </c>
      <c r="E84" s="28">
        <v>46228</v>
      </c>
      <c r="F84" s="29">
        <v>0.76527777777777772</v>
      </c>
      <c r="G84" s="16">
        <v>2026</v>
      </c>
      <c r="H84" s="16" t="s">
        <v>34</v>
      </c>
      <c r="I84" s="22" t="s">
        <v>35</v>
      </c>
      <c r="J84" s="25" t="s">
        <v>603</v>
      </c>
      <c r="K84" s="26"/>
      <c r="L84" s="23" t="s">
        <v>52</v>
      </c>
      <c r="M84" s="22" t="s">
        <v>53</v>
      </c>
      <c r="N84" s="26" t="s">
        <v>604</v>
      </c>
      <c r="O84" s="26" t="s">
        <v>439</v>
      </c>
      <c r="P84" s="20" t="s">
        <v>605</v>
      </c>
      <c r="Q84" s="26" t="s">
        <v>134</v>
      </c>
      <c r="R84" s="26" t="s">
        <v>42</v>
      </c>
      <c r="S84" s="16" t="s">
        <v>135</v>
      </c>
      <c r="T84" s="30">
        <v>3118918691</v>
      </c>
      <c r="U84" s="30" t="s">
        <v>406</v>
      </c>
      <c r="V84" s="20" t="s">
        <v>606</v>
      </c>
      <c r="W84">
        <f>WEEKNUM(E84)</f>
        <v>30</v>
      </c>
      <c r="X84">
        <f>MONTH(E84)</f>
        <v>7</v>
      </c>
      <c r="Y84">
        <f>YEAR(E84)</f>
        <v>2026</v>
      </c>
      <c r="Z84" t="str">
        <f>_xlfn.CONCAT(W84,"-",Y84)</f>
        <v>30-2026</v>
      </c>
      <c r="AF84">
        <v>2</v>
      </c>
    </row>
    <row r="85" spans="1:32" ht="29.25">
      <c r="A85" s="16">
        <v>3690617</v>
      </c>
      <c r="B85" s="16" t="s">
        <v>341</v>
      </c>
      <c r="C85" s="16" t="s">
        <v>342</v>
      </c>
      <c r="D85" s="31">
        <v>46228</v>
      </c>
      <c r="E85" s="28">
        <v>46228</v>
      </c>
      <c r="F85" s="29">
        <v>0.81041666666666667</v>
      </c>
      <c r="G85" s="16">
        <v>2026</v>
      </c>
      <c r="H85" s="16" t="s">
        <v>34</v>
      </c>
      <c r="I85" s="22" t="s">
        <v>35</v>
      </c>
      <c r="J85" s="25" t="s">
        <v>607</v>
      </c>
      <c r="K85" s="26"/>
      <c r="L85" s="23" t="s">
        <v>69</v>
      </c>
      <c r="M85" s="22" t="s">
        <v>579</v>
      </c>
      <c r="N85" s="26" t="s">
        <v>608</v>
      </c>
      <c r="O85" s="26" t="s">
        <v>439</v>
      </c>
      <c r="P85" s="20"/>
      <c r="Q85" s="26" t="s">
        <v>41</v>
      </c>
      <c r="R85" s="26" t="s">
        <v>42</v>
      </c>
      <c r="S85" s="16" t="s">
        <v>43</v>
      </c>
      <c r="T85" s="30">
        <v>3178928902</v>
      </c>
      <c r="U85" s="30" t="s">
        <v>609</v>
      </c>
      <c r="V85" s="20" t="s">
        <v>610</v>
      </c>
      <c r="W85">
        <f>WEEKNUM(E85)</f>
        <v>30</v>
      </c>
      <c r="X85">
        <f>MONTH(E85)</f>
        <v>7</v>
      </c>
      <c r="Y85">
        <f>YEAR(E85)</f>
        <v>2026</v>
      </c>
      <c r="Z85" t="str">
        <f>_xlfn.CONCAT(W85,"-",Y85)</f>
        <v>30-2026</v>
      </c>
      <c r="AF85">
        <v>2</v>
      </c>
    </row>
    <row r="86" spans="1:32" ht="29.25">
      <c r="A86" s="16">
        <v>3690627</v>
      </c>
      <c r="B86" s="16" t="s">
        <v>341</v>
      </c>
      <c r="C86" s="16" t="s">
        <v>342</v>
      </c>
      <c r="D86" s="31">
        <v>46228</v>
      </c>
      <c r="E86" s="28">
        <v>46228</v>
      </c>
      <c r="F86" s="29">
        <v>0.87291666666666667</v>
      </c>
      <c r="G86" s="16">
        <v>2026</v>
      </c>
      <c r="H86" s="16" t="s">
        <v>34</v>
      </c>
      <c r="I86" s="22" t="s">
        <v>35</v>
      </c>
      <c r="J86" s="25" t="s">
        <v>611</v>
      </c>
      <c r="K86" s="26"/>
      <c r="L86" s="23" t="s">
        <v>69</v>
      </c>
      <c r="M86" s="22" t="s">
        <v>579</v>
      </c>
      <c r="N86" s="26" t="s">
        <v>612</v>
      </c>
      <c r="O86" s="26" t="s">
        <v>439</v>
      </c>
      <c r="P86" s="20" t="s">
        <v>613</v>
      </c>
      <c r="Q86" s="26" t="s">
        <v>134</v>
      </c>
      <c r="R86" s="26" t="s">
        <v>81</v>
      </c>
      <c r="S86" s="16" t="s">
        <v>135</v>
      </c>
      <c r="T86" s="30" t="s">
        <v>614</v>
      </c>
      <c r="U86" s="30" t="s">
        <v>615</v>
      </c>
      <c r="V86" s="20" t="s">
        <v>616</v>
      </c>
      <c r="W86">
        <f>WEEKNUM(E86)</f>
        <v>30</v>
      </c>
      <c r="X86">
        <f>MONTH(E86)</f>
        <v>7</v>
      </c>
      <c r="Y86">
        <f>YEAR(E86)</f>
        <v>2026</v>
      </c>
      <c r="Z86" t="str">
        <f>_xlfn.CONCAT(W86,"-",Y86)</f>
        <v>30-2026</v>
      </c>
      <c r="AF86">
        <v>2</v>
      </c>
    </row>
    <row r="87" spans="1:32" ht="29.25">
      <c r="A87" s="16">
        <v>3690630</v>
      </c>
      <c r="B87" s="16" t="s">
        <v>341</v>
      </c>
      <c r="C87" s="16" t="s">
        <v>342</v>
      </c>
      <c r="D87" s="31">
        <v>46228</v>
      </c>
      <c r="E87" s="28">
        <v>46228</v>
      </c>
      <c r="F87" s="29">
        <v>0.87777777777777777</v>
      </c>
      <c r="G87" s="16">
        <v>2026</v>
      </c>
      <c r="H87" s="16" t="s">
        <v>34</v>
      </c>
      <c r="I87" s="22" t="s">
        <v>35</v>
      </c>
      <c r="J87" s="25" t="s">
        <v>617</v>
      </c>
      <c r="K87" s="26"/>
      <c r="L87" s="23" t="s">
        <v>69</v>
      </c>
      <c r="M87" s="22" t="s">
        <v>579</v>
      </c>
      <c r="N87" s="26" t="s">
        <v>618</v>
      </c>
      <c r="O87" s="26" t="s">
        <v>439</v>
      </c>
      <c r="P87" s="20" t="s">
        <v>619</v>
      </c>
      <c r="Q87" s="26" t="s">
        <v>134</v>
      </c>
      <c r="R87" s="26" t="s">
        <v>81</v>
      </c>
      <c r="S87" s="16" t="s">
        <v>135</v>
      </c>
      <c r="T87" s="30" t="s">
        <v>620</v>
      </c>
      <c r="U87" s="30" t="s">
        <v>406</v>
      </c>
      <c r="V87" s="20" t="s">
        <v>621</v>
      </c>
      <c r="W87">
        <f>WEEKNUM(E87)</f>
        <v>30</v>
      </c>
      <c r="X87">
        <f>MONTH(E87)</f>
        <v>7</v>
      </c>
      <c r="Y87">
        <f>YEAR(E87)</f>
        <v>2026</v>
      </c>
      <c r="Z87" t="str">
        <f>_xlfn.CONCAT(W87,"-",Y87)</f>
        <v>30-2026</v>
      </c>
      <c r="AF87">
        <v>2</v>
      </c>
    </row>
    <row r="88" spans="1:32" ht="29.25">
      <c r="A88" s="16">
        <v>3690631</v>
      </c>
      <c r="B88" s="16" t="s">
        <v>341</v>
      </c>
      <c r="C88" s="16" t="s">
        <v>342</v>
      </c>
      <c r="D88" s="31">
        <v>46228</v>
      </c>
      <c r="E88" s="28">
        <v>46228</v>
      </c>
      <c r="F88" s="29">
        <v>0.8881944444444444</v>
      </c>
      <c r="G88" s="16">
        <v>2026</v>
      </c>
      <c r="H88" s="16" t="s">
        <v>34</v>
      </c>
      <c r="I88" s="22" t="s">
        <v>35</v>
      </c>
      <c r="J88" s="25" t="s">
        <v>622</v>
      </c>
      <c r="K88" s="26"/>
      <c r="L88" s="23" t="s">
        <v>69</v>
      </c>
      <c r="M88" s="22" t="s">
        <v>70</v>
      </c>
      <c r="N88" s="26" t="s">
        <v>623</v>
      </c>
      <c r="O88" s="26" t="s">
        <v>439</v>
      </c>
      <c r="P88" s="20" t="s">
        <v>624</v>
      </c>
      <c r="Q88" s="26" t="s">
        <v>41</v>
      </c>
      <c r="R88" s="26" t="s">
        <v>81</v>
      </c>
      <c r="S88" s="16" t="s">
        <v>43</v>
      </c>
      <c r="T88" s="30">
        <v>3105050992</v>
      </c>
      <c r="U88" s="30" t="s">
        <v>406</v>
      </c>
      <c r="V88" s="20" t="s">
        <v>625</v>
      </c>
      <c r="W88">
        <f>WEEKNUM(E88)</f>
        <v>30</v>
      </c>
      <c r="X88">
        <f>MONTH(E88)</f>
        <v>7</v>
      </c>
      <c r="Y88">
        <f>YEAR(E88)</f>
        <v>2026</v>
      </c>
      <c r="Z88" t="str">
        <f>_xlfn.CONCAT(W88,"-",Y88)</f>
        <v>30-2026</v>
      </c>
      <c r="AF88">
        <v>2</v>
      </c>
    </row>
    <row r="89" spans="1:32" ht="29.25">
      <c r="A89" s="16">
        <v>3693642</v>
      </c>
      <c r="B89" s="16" t="s">
        <v>520</v>
      </c>
      <c r="C89" s="16" t="s">
        <v>521</v>
      </c>
      <c r="D89" s="31">
        <v>46229</v>
      </c>
      <c r="E89" s="28">
        <v>46229</v>
      </c>
      <c r="F89" s="29">
        <v>0.71527777777777779</v>
      </c>
      <c r="G89" s="16">
        <v>2026</v>
      </c>
      <c r="H89" s="16" t="s">
        <v>34</v>
      </c>
      <c r="I89" s="22" t="s">
        <v>35</v>
      </c>
      <c r="J89" s="25" t="s">
        <v>626</v>
      </c>
      <c r="K89" s="26"/>
      <c r="L89" s="23" t="s">
        <v>69</v>
      </c>
      <c r="M89" s="22" t="s">
        <v>70</v>
      </c>
      <c r="N89" s="26" t="s">
        <v>627</v>
      </c>
      <c r="O89" s="26" t="s">
        <v>419</v>
      </c>
      <c r="P89" s="20" t="s">
        <v>628</v>
      </c>
      <c r="Q89" s="26" t="s">
        <v>41</v>
      </c>
      <c r="R89" s="26" t="s">
        <v>81</v>
      </c>
      <c r="S89" s="16" t="s">
        <v>43</v>
      </c>
      <c r="T89" s="30">
        <v>3122972656</v>
      </c>
      <c r="U89" s="30">
        <v>3122972656</v>
      </c>
      <c r="V89" s="20" t="s">
        <v>629</v>
      </c>
      <c r="W89">
        <f>WEEKNUM(E89)</f>
        <v>31</v>
      </c>
      <c r="X89">
        <f>MONTH(E89)</f>
        <v>7</v>
      </c>
      <c r="Y89">
        <f>YEAR(E89)</f>
        <v>2026</v>
      </c>
      <c r="Z89" t="str">
        <f>_xlfn.CONCAT(W89,"-",Y89)</f>
        <v>31-2026</v>
      </c>
    </row>
    <row r="90" spans="1:32" ht="29.25">
      <c r="A90" s="16">
        <v>3696742</v>
      </c>
      <c r="B90" s="16" t="s">
        <v>350</v>
      </c>
      <c r="C90" s="16" t="s">
        <v>351</v>
      </c>
      <c r="D90" s="31">
        <v>46230</v>
      </c>
      <c r="E90" s="28">
        <v>46230</v>
      </c>
      <c r="F90" s="29">
        <v>0.34027777777777779</v>
      </c>
      <c r="G90" s="16">
        <v>2026</v>
      </c>
      <c r="H90" s="16" t="s">
        <v>34</v>
      </c>
      <c r="I90" s="22" t="s">
        <v>35</v>
      </c>
      <c r="J90" s="25" t="s">
        <v>630</v>
      </c>
      <c r="K90" s="26"/>
      <c r="L90" s="23" t="s">
        <v>52</v>
      </c>
      <c r="M90" s="22" t="s">
        <v>53</v>
      </c>
      <c r="N90" s="26" t="s">
        <v>631</v>
      </c>
      <c r="O90" s="26" t="s">
        <v>439</v>
      </c>
      <c r="P90" s="20" t="s">
        <v>632</v>
      </c>
      <c r="Q90" s="26" t="s">
        <v>41</v>
      </c>
      <c r="R90" s="26" t="s">
        <v>42</v>
      </c>
      <c r="S90" s="16" t="s">
        <v>43</v>
      </c>
      <c r="T90" s="30" t="s">
        <v>633</v>
      </c>
      <c r="U90" s="30" t="s">
        <v>634</v>
      </c>
      <c r="V90" s="20" t="s">
        <v>635</v>
      </c>
      <c r="W90">
        <f>WEEKNUM(E90)</f>
        <v>31</v>
      </c>
      <c r="X90">
        <f>MONTH(E90)</f>
        <v>7</v>
      </c>
      <c r="Y90">
        <f>YEAR(E90)</f>
        <v>2026</v>
      </c>
      <c r="Z90" t="str">
        <f>_xlfn.CONCAT(W90,"-",Y90)</f>
        <v>31-2026</v>
      </c>
    </row>
    <row r="91" spans="1:32" ht="33" customHeight="1">
      <c r="A91" s="16">
        <v>3696824</v>
      </c>
      <c r="B91" s="16" t="s">
        <v>203</v>
      </c>
      <c r="C91" s="16" t="s">
        <v>204</v>
      </c>
      <c r="D91" s="31">
        <v>46230</v>
      </c>
      <c r="E91" s="28">
        <v>46230</v>
      </c>
      <c r="F91" s="29">
        <v>0.41805555555555557</v>
      </c>
      <c r="G91" s="16">
        <v>2026</v>
      </c>
      <c r="H91" s="16" t="s">
        <v>34</v>
      </c>
      <c r="I91" s="22" t="s">
        <v>35</v>
      </c>
      <c r="J91" s="25" t="s">
        <v>636</v>
      </c>
      <c r="K91" s="26"/>
      <c r="L91" s="23" t="s">
        <v>52</v>
      </c>
      <c r="M91" s="22" t="s">
        <v>53</v>
      </c>
      <c r="N91" s="26" t="s">
        <v>637</v>
      </c>
      <c r="O91" s="26" t="s">
        <v>392</v>
      </c>
      <c r="P91" s="20" t="s">
        <v>638</v>
      </c>
      <c r="Q91" s="26" t="s">
        <v>530</v>
      </c>
      <c r="R91" s="26" t="s">
        <v>42</v>
      </c>
      <c r="S91" s="16" t="s">
        <v>43</v>
      </c>
      <c r="T91" s="30" t="s">
        <v>639</v>
      </c>
      <c r="U91" s="30" t="s">
        <v>209</v>
      </c>
      <c r="V91" s="20" t="s">
        <v>640</v>
      </c>
      <c r="W91">
        <f>WEEKNUM(E91)</f>
        <v>31</v>
      </c>
      <c r="X91">
        <f>MONTH(E91)</f>
        <v>7</v>
      </c>
      <c r="Y91">
        <f>YEAR(E91)</f>
        <v>2026</v>
      </c>
      <c r="Z91" t="str">
        <f>_xlfn.CONCAT(W91,"-",Y91)</f>
        <v>31-2026</v>
      </c>
    </row>
    <row r="92" spans="1:32" ht="29.25">
      <c r="A92" s="16">
        <v>3696844</v>
      </c>
      <c r="B92" s="16" t="s">
        <v>203</v>
      </c>
      <c r="C92" s="16" t="s">
        <v>204</v>
      </c>
      <c r="D92" s="31">
        <v>46230</v>
      </c>
      <c r="E92" s="28">
        <v>46230</v>
      </c>
      <c r="F92" s="29">
        <v>0.42569444444444443</v>
      </c>
      <c r="G92" s="16">
        <v>2026</v>
      </c>
      <c r="H92" s="16" t="s">
        <v>34</v>
      </c>
      <c r="I92" s="22" t="s">
        <v>35</v>
      </c>
      <c r="J92" s="25" t="s">
        <v>641</v>
      </c>
      <c r="K92" s="26"/>
      <c r="L92" s="23" t="s">
        <v>52</v>
      </c>
      <c r="M92" s="22" t="s">
        <v>53</v>
      </c>
      <c r="N92" s="26" t="s">
        <v>642</v>
      </c>
      <c r="O92" s="26" t="s">
        <v>392</v>
      </c>
      <c r="P92" s="20" t="s">
        <v>643</v>
      </c>
      <c r="Q92" s="26" t="s">
        <v>530</v>
      </c>
      <c r="R92" s="26" t="s">
        <v>81</v>
      </c>
      <c r="S92" s="16" t="s">
        <v>43</v>
      </c>
      <c r="T92" s="30" t="s">
        <v>644</v>
      </c>
      <c r="U92" s="30" t="s">
        <v>209</v>
      </c>
      <c r="V92" s="20" t="s">
        <v>645</v>
      </c>
      <c r="W92">
        <f>WEEKNUM(E92)</f>
        <v>31</v>
      </c>
      <c r="X92">
        <f>MONTH(E92)</f>
        <v>7</v>
      </c>
      <c r="Y92">
        <f>YEAR(E92)</f>
        <v>2026</v>
      </c>
      <c r="Z92" t="str">
        <f>_xlfn.CONCAT(W92,"-",Y92)</f>
        <v>31-2026</v>
      </c>
    </row>
    <row r="93" spans="1:32" ht="29.25">
      <c r="A93" s="16">
        <v>3696848</v>
      </c>
      <c r="B93" s="16" t="s">
        <v>203</v>
      </c>
      <c r="C93" s="16" t="s">
        <v>204</v>
      </c>
      <c r="D93" s="31">
        <v>46230</v>
      </c>
      <c r="E93" s="28">
        <v>46230</v>
      </c>
      <c r="F93" s="29">
        <v>0.43055555555555558</v>
      </c>
      <c r="G93" s="16">
        <v>2026</v>
      </c>
      <c r="H93" s="16" t="s">
        <v>34</v>
      </c>
      <c r="I93" s="22" t="s">
        <v>35</v>
      </c>
      <c r="J93" s="25" t="s">
        <v>646</v>
      </c>
      <c r="K93" s="26"/>
      <c r="L93" s="23" t="s">
        <v>52</v>
      </c>
      <c r="M93" s="22" t="s">
        <v>53</v>
      </c>
      <c r="N93" s="26" t="s">
        <v>647</v>
      </c>
      <c r="O93" s="26" t="s">
        <v>392</v>
      </c>
      <c r="P93" s="20" t="s">
        <v>648</v>
      </c>
      <c r="Q93" s="26" t="s">
        <v>41</v>
      </c>
      <c r="R93" s="26" t="s">
        <v>42</v>
      </c>
      <c r="S93" s="16" t="s">
        <v>135</v>
      </c>
      <c r="T93" s="30" t="s">
        <v>649</v>
      </c>
      <c r="U93" s="30" t="s">
        <v>209</v>
      </c>
      <c r="V93" s="20" t="s">
        <v>650</v>
      </c>
      <c r="W93">
        <f>WEEKNUM(E93)</f>
        <v>31</v>
      </c>
      <c r="X93">
        <f>MONTH(E93)</f>
        <v>7</v>
      </c>
      <c r="Y93">
        <f>YEAR(E93)</f>
        <v>2026</v>
      </c>
      <c r="Z93" t="str">
        <f>_xlfn.CONCAT(W93,"-",Y93)</f>
        <v>31-2026</v>
      </c>
    </row>
    <row r="94" spans="1:32" ht="29.25">
      <c r="A94" s="16">
        <v>3696850</v>
      </c>
      <c r="B94" s="16" t="s">
        <v>203</v>
      </c>
      <c r="C94" s="16" t="s">
        <v>204</v>
      </c>
      <c r="D94" s="31">
        <v>46230</v>
      </c>
      <c r="E94" s="28">
        <v>46230</v>
      </c>
      <c r="F94" s="29">
        <v>0.43402777777777779</v>
      </c>
      <c r="G94" s="16">
        <v>2026</v>
      </c>
      <c r="H94" s="16" t="s">
        <v>34</v>
      </c>
      <c r="I94" s="22" t="s">
        <v>35</v>
      </c>
      <c r="J94" s="25" t="s">
        <v>651</v>
      </c>
      <c r="K94" s="26"/>
      <c r="L94" s="23" t="s">
        <v>52</v>
      </c>
      <c r="M94" s="22" t="s">
        <v>53</v>
      </c>
      <c r="N94" s="26" t="s">
        <v>652</v>
      </c>
      <c r="O94" s="26" t="s">
        <v>392</v>
      </c>
      <c r="P94" s="20" t="s">
        <v>653</v>
      </c>
      <c r="Q94" s="26" t="s">
        <v>41</v>
      </c>
      <c r="R94" s="26" t="s">
        <v>81</v>
      </c>
      <c r="S94" s="16" t="s">
        <v>43</v>
      </c>
      <c r="T94" s="30">
        <v>3105726862</v>
      </c>
      <c r="U94" s="30" t="s">
        <v>209</v>
      </c>
      <c r="V94" s="20" t="s">
        <v>654</v>
      </c>
      <c r="W94">
        <f>WEEKNUM(E94)</f>
        <v>31</v>
      </c>
      <c r="X94">
        <f>MONTH(E94)</f>
        <v>7</v>
      </c>
      <c r="Y94">
        <f>YEAR(E94)</f>
        <v>2026</v>
      </c>
      <c r="Z94" t="str">
        <f>_xlfn.CONCAT(W94,"-",Y94)</f>
        <v>31-2026</v>
      </c>
    </row>
    <row r="95" spans="1:32" ht="28.5" customHeight="1">
      <c r="A95" s="16">
        <v>3696960</v>
      </c>
      <c r="B95" s="16" t="s">
        <v>387</v>
      </c>
      <c r="C95" s="16"/>
      <c r="D95" s="31">
        <v>46230</v>
      </c>
      <c r="E95" s="28">
        <v>46230</v>
      </c>
      <c r="F95" s="29">
        <v>0.51458333333333328</v>
      </c>
      <c r="G95" s="16">
        <v>2026</v>
      </c>
      <c r="H95" s="16" t="s">
        <v>34</v>
      </c>
      <c r="I95" s="22" t="s">
        <v>35</v>
      </c>
      <c r="J95" s="25" t="s">
        <v>655</v>
      </c>
      <c r="K95" s="26"/>
      <c r="L95" s="23" t="s">
        <v>52</v>
      </c>
      <c r="M95" s="22" t="s">
        <v>53</v>
      </c>
      <c r="N95" s="26" t="s">
        <v>656</v>
      </c>
      <c r="O95" s="26" t="s">
        <v>392</v>
      </c>
      <c r="P95" s="20" t="s">
        <v>657</v>
      </c>
      <c r="Q95" s="26" t="s">
        <v>41</v>
      </c>
      <c r="R95" s="26" t="s">
        <v>42</v>
      </c>
      <c r="S95" s="16" t="s">
        <v>101</v>
      </c>
      <c r="T95" s="30">
        <v>3102275656</v>
      </c>
      <c r="U95" s="30" t="s">
        <v>658</v>
      </c>
      <c r="V95" s="20" t="s">
        <v>659</v>
      </c>
      <c r="W95">
        <f>WEEKNUM(E95)</f>
        <v>31</v>
      </c>
      <c r="X95">
        <f>MONTH(E95)</f>
        <v>7</v>
      </c>
      <c r="Y95">
        <f>YEAR(E95)</f>
        <v>2026</v>
      </c>
      <c r="Z95" t="str">
        <f>_xlfn.CONCAT(W95,"-",Y95)</f>
        <v>31-2026</v>
      </c>
    </row>
    <row r="96" spans="1:32" ht="30" customHeight="1">
      <c r="A96" s="16">
        <v>3696961</v>
      </c>
      <c r="B96" s="16" t="s">
        <v>387</v>
      </c>
      <c r="C96" s="16"/>
      <c r="D96" s="31">
        <v>46230</v>
      </c>
      <c r="E96" s="28">
        <v>46230</v>
      </c>
      <c r="F96" s="29">
        <v>0.5180555555555556</v>
      </c>
      <c r="G96" s="16">
        <v>2026</v>
      </c>
      <c r="H96" s="16" t="s">
        <v>34</v>
      </c>
      <c r="I96" s="22" t="s">
        <v>35</v>
      </c>
      <c r="J96" s="25" t="s">
        <v>660</v>
      </c>
      <c r="K96" s="26"/>
      <c r="L96" s="23" t="s">
        <v>52</v>
      </c>
      <c r="M96" s="22" t="s">
        <v>53</v>
      </c>
      <c r="N96" s="26" t="s">
        <v>661</v>
      </c>
      <c r="O96" s="26" t="s">
        <v>392</v>
      </c>
      <c r="P96" s="20" t="s">
        <v>662</v>
      </c>
      <c r="Q96" s="26" t="s">
        <v>41</v>
      </c>
      <c r="R96" s="26" t="s">
        <v>81</v>
      </c>
      <c r="S96" s="16" t="s">
        <v>43</v>
      </c>
      <c r="T96" s="30">
        <v>3330334242</v>
      </c>
      <c r="U96" s="30" t="s">
        <v>658</v>
      </c>
      <c r="V96" s="20" t="s">
        <v>663</v>
      </c>
      <c r="W96">
        <f>WEEKNUM(E96)</f>
        <v>31</v>
      </c>
      <c r="X96">
        <f>MONTH(E96)</f>
        <v>7</v>
      </c>
      <c r="Y96">
        <f>YEAR(E96)</f>
        <v>2026</v>
      </c>
      <c r="Z96" t="str">
        <f>_xlfn.CONCAT(W96,"-",Y96)</f>
        <v>31-2026</v>
      </c>
    </row>
    <row r="97" spans="1:26" ht="26.45" customHeight="1">
      <c r="A97" s="16">
        <v>3696979</v>
      </c>
      <c r="B97" s="16" t="s">
        <v>387</v>
      </c>
      <c r="C97" s="16"/>
      <c r="D97" s="31">
        <v>46230</v>
      </c>
      <c r="E97" s="28">
        <v>46230</v>
      </c>
      <c r="F97" s="29">
        <v>0.53402777777777777</v>
      </c>
      <c r="G97" s="16">
        <v>2026</v>
      </c>
      <c r="H97" s="16" t="s">
        <v>34</v>
      </c>
      <c r="I97" s="22" t="s">
        <v>35</v>
      </c>
      <c r="J97" s="25" t="s">
        <v>664</v>
      </c>
      <c r="K97" s="26"/>
      <c r="L97" s="23" t="s">
        <v>52</v>
      </c>
      <c r="M97" s="22" t="s">
        <v>53</v>
      </c>
      <c r="N97" s="26" t="s">
        <v>665</v>
      </c>
      <c r="O97" s="26" t="s">
        <v>392</v>
      </c>
      <c r="P97" s="20" t="s">
        <v>666</v>
      </c>
      <c r="Q97" s="26" t="s">
        <v>530</v>
      </c>
      <c r="R97" s="26" t="s">
        <v>42</v>
      </c>
      <c r="S97" s="16" t="s">
        <v>135</v>
      </c>
      <c r="T97" s="30">
        <v>3176606271</v>
      </c>
      <c r="U97" s="30" t="s">
        <v>667</v>
      </c>
      <c r="V97" s="20" t="s">
        <v>668</v>
      </c>
      <c r="W97">
        <f>WEEKNUM(E97)</f>
        <v>31</v>
      </c>
      <c r="X97">
        <f>MONTH(E97)</f>
        <v>7</v>
      </c>
      <c r="Y97">
        <f>YEAR(E97)</f>
        <v>2026</v>
      </c>
      <c r="Z97" t="str">
        <f>_xlfn.CONCAT(W97,"-",Y97)</f>
        <v>31-2026</v>
      </c>
    </row>
    <row r="98" spans="1:26" ht="24.95" customHeight="1">
      <c r="A98" s="16">
        <v>3696981</v>
      </c>
      <c r="B98" s="16" t="s">
        <v>387</v>
      </c>
      <c r="C98" s="16"/>
      <c r="D98" s="31">
        <v>46230</v>
      </c>
      <c r="E98" s="28">
        <v>46230</v>
      </c>
      <c r="F98" s="29">
        <v>0.53680555555555554</v>
      </c>
      <c r="G98" s="16">
        <v>2026</v>
      </c>
      <c r="H98" s="16" t="s">
        <v>34</v>
      </c>
      <c r="I98" s="22" t="s">
        <v>35</v>
      </c>
      <c r="J98" s="25" t="s">
        <v>669</v>
      </c>
      <c r="K98" s="26"/>
      <c r="L98" s="23" t="s">
        <v>37</v>
      </c>
      <c r="M98" s="22" t="s">
        <v>53</v>
      </c>
      <c r="N98" s="26" t="s">
        <v>670</v>
      </c>
      <c r="O98" s="26" t="s">
        <v>392</v>
      </c>
      <c r="P98" s="20" t="s">
        <v>671</v>
      </c>
      <c r="Q98" s="26" t="s">
        <v>530</v>
      </c>
      <c r="R98" s="26" t="s">
        <v>42</v>
      </c>
      <c r="S98" s="16" t="s">
        <v>43</v>
      </c>
      <c r="T98" s="30">
        <v>3125370241</v>
      </c>
      <c r="U98" s="30" t="s">
        <v>667</v>
      </c>
      <c r="V98" s="20" t="s">
        <v>672</v>
      </c>
      <c r="W98">
        <f>WEEKNUM(E98)</f>
        <v>31</v>
      </c>
      <c r="X98">
        <f>MONTH(E98)</f>
        <v>7</v>
      </c>
      <c r="Y98">
        <f>YEAR(E98)</f>
        <v>2026</v>
      </c>
      <c r="Z98" t="str">
        <f>_xlfn.CONCAT(W98,"-",Y98)</f>
        <v>31-2026</v>
      </c>
    </row>
    <row r="99" spans="1:26" ht="29.25">
      <c r="A99" s="16">
        <v>3697029</v>
      </c>
      <c r="B99" s="16" t="s">
        <v>673</v>
      </c>
      <c r="C99" s="16" t="s">
        <v>49</v>
      </c>
      <c r="D99" s="31">
        <v>46230</v>
      </c>
      <c r="E99" s="28">
        <v>46230</v>
      </c>
      <c r="F99" s="29">
        <v>0.60763888888888884</v>
      </c>
      <c r="G99" s="16">
        <v>2026</v>
      </c>
      <c r="H99" s="16" t="s">
        <v>34</v>
      </c>
      <c r="I99" s="22" t="s">
        <v>35</v>
      </c>
      <c r="J99" s="25" t="s">
        <v>674</v>
      </c>
      <c r="K99" s="26"/>
      <c r="L99" s="23" t="s">
        <v>52</v>
      </c>
      <c r="M99" s="22" t="s">
        <v>53</v>
      </c>
      <c r="N99" s="26" t="s">
        <v>675</v>
      </c>
      <c r="O99" s="26" t="s">
        <v>392</v>
      </c>
      <c r="P99" s="20" t="s">
        <v>676</v>
      </c>
      <c r="Q99" s="26" t="s">
        <v>41</v>
      </c>
      <c r="R99" s="26" t="s">
        <v>42</v>
      </c>
      <c r="S99" s="16" t="s">
        <v>135</v>
      </c>
      <c r="T99" s="30">
        <v>3005546100</v>
      </c>
      <c r="U99" s="30"/>
      <c r="V99" s="20" t="s">
        <v>677</v>
      </c>
      <c r="W99">
        <f>WEEKNUM(E99)</f>
        <v>31</v>
      </c>
      <c r="X99">
        <f>MONTH(E99)</f>
        <v>7</v>
      </c>
      <c r="Y99">
        <f>YEAR(E99)</f>
        <v>2026</v>
      </c>
      <c r="Z99" t="str">
        <f>_xlfn.CONCAT(W99,"-",Y99)</f>
        <v>31-2026</v>
      </c>
    </row>
    <row r="100" spans="1:26" ht="29.25">
      <c r="A100" s="16">
        <v>3697093</v>
      </c>
      <c r="B100" s="16" t="s">
        <v>537</v>
      </c>
      <c r="C100" s="16" t="s">
        <v>538</v>
      </c>
      <c r="D100" s="31">
        <v>46230</v>
      </c>
      <c r="E100" s="28">
        <v>46230</v>
      </c>
      <c r="F100" s="29">
        <v>0.66666666666666663</v>
      </c>
      <c r="G100" s="16">
        <v>2026</v>
      </c>
      <c r="H100" s="16" t="s">
        <v>34</v>
      </c>
      <c r="I100" s="16" t="s">
        <v>35</v>
      </c>
      <c r="J100" s="16" t="s">
        <v>678</v>
      </c>
      <c r="K100" s="16"/>
      <c r="L100" s="16" t="s">
        <v>52</v>
      </c>
      <c r="M100" s="16" t="s">
        <v>53</v>
      </c>
      <c r="N100" s="16" t="s">
        <v>679</v>
      </c>
      <c r="O100" s="16" t="s">
        <v>392</v>
      </c>
      <c r="P100" s="20" t="s">
        <v>680</v>
      </c>
      <c r="Q100" s="16" t="s">
        <v>41</v>
      </c>
      <c r="R100" s="16" t="s">
        <v>42</v>
      </c>
      <c r="S100" s="16" t="s">
        <v>421</v>
      </c>
      <c r="T100" s="33">
        <v>3203854343</v>
      </c>
      <c r="U100" s="16" t="s">
        <v>681</v>
      </c>
      <c r="V100" s="16" t="s">
        <v>682</v>
      </c>
      <c r="W100">
        <f>WEEKNUM(E100)</f>
        <v>31</v>
      </c>
      <c r="X100">
        <f>MONTH(E100)</f>
        <v>7</v>
      </c>
      <c r="Y100">
        <f>YEAR(E100)</f>
        <v>2026</v>
      </c>
      <c r="Z100" t="str">
        <f>_xlfn.CONCAT(W100,"-",Y100)</f>
        <v>31-2026</v>
      </c>
    </row>
    <row r="101" spans="1:26" ht="29.25">
      <c r="A101" s="16">
        <v>3697115</v>
      </c>
      <c r="B101" s="16" t="s">
        <v>683</v>
      </c>
      <c r="C101" s="16" t="s">
        <v>684</v>
      </c>
      <c r="D101" s="31">
        <v>46230</v>
      </c>
      <c r="E101" s="28">
        <v>46230</v>
      </c>
      <c r="F101" s="29">
        <v>0.69930555555555551</v>
      </c>
      <c r="G101" s="16">
        <v>2026</v>
      </c>
      <c r="H101" s="16" t="s">
        <v>34</v>
      </c>
      <c r="I101" s="16" t="s">
        <v>35</v>
      </c>
      <c r="J101" s="16" t="s">
        <v>685</v>
      </c>
      <c r="K101" s="16"/>
      <c r="L101" s="16" t="s">
        <v>52</v>
      </c>
      <c r="M101" s="16" t="s">
        <v>53</v>
      </c>
      <c r="N101" s="16" t="s">
        <v>686</v>
      </c>
      <c r="O101" s="16" t="s">
        <v>439</v>
      </c>
      <c r="P101" s="20" t="s">
        <v>687</v>
      </c>
      <c r="Q101" s="16" t="s">
        <v>530</v>
      </c>
      <c r="R101" s="16" t="s">
        <v>42</v>
      </c>
      <c r="S101" s="16" t="s">
        <v>43</v>
      </c>
      <c r="T101" s="33">
        <v>3123972027</v>
      </c>
      <c r="U101" s="16" t="s">
        <v>688</v>
      </c>
      <c r="V101" s="16" t="s">
        <v>689</v>
      </c>
      <c r="W101">
        <f>WEEKNUM(E101)</f>
        <v>31</v>
      </c>
      <c r="X101">
        <f>MONTH(E101)</f>
        <v>7</v>
      </c>
      <c r="Y101">
        <f>YEAR(E101)</f>
        <v>2026</v>
      </c>
      <c r="Z101" t="str">
        <f>_xlfn.CONCAT(W101,"-",Y101)</f>
        <v>31-2026</v>
      </c>
    </row>
  </sheetData>
  <autoFilter ref="A1:AG99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0" r:id="rId88" display="https://oxxo-colombia.oneapp.cl/static/img/Respuesta/63380340/dd79b6fe5bba15fc123c186fe236a1da.jpg" xr:uid="{5B3150EB-48A4-4179-811C-9D103E2FB96E}"/>
    <hyperlink ref="V91" r:id="rId89" display="https://oxxo-colombia.oneapp.cl/static/img/Respuesta/63387714/f124d584558a775b084329f8f42f49cf.jpg" xr:uid="{569502A2-B7EC-420F-AE15-BE9035EC329A}"/>
    <hyperlink ref="V92" r:id="rId90" display="https://oxxo-colombia.oneapp.cl/static/img/Respuesta/63388027/680b1b6f582e2dd2d7445085ee62dc31.jpg" xr:uid="{B542BBB1-8FEC-40F5-B257-E3BA68425489}"/>
    <hyperlink ref="V93" r:id="rId91" display="https://oxxo-colombia.oneapp.cl/static/img/Respuesta/63388253/8450c81c64856218bb75aca92028cb1f.jpg" xr:uid="{1F4370D0-9E4C-4C28-AA80-55DA1B90C95F}"/>
    <hyperlink ref="V94" r:id="rId92" display="https://oxxo-colombia.oneapp.cl/static/img/Respuesta/63388428/172038a89dc04695c868088d514e5543.jpg" xr:uid="{46F49280-7858-450C-B9C6-32B3754C7101}"/>
    <hyperlink ref="V95" r:id="rId93" display="https://oxxo-colombia.oneapp.cl/static/img/Respuesta/63393109/ef98d3e838bb69e0a3158b1069057235.jpg" xr:uid="{9DA1D71E-F6C9-42EF-A8AE-5F3228937089}"/>
    <hyperlink ref="V96" r:id="rId94" display="https://oxxo-colombia.oneapp.cl/static/img/Respuesta/63393355/30fd5d94d97855af9d13c23b09032a59.jpg" xr:uid="{49E18154-205C-47B8-AC2D-D13169CAEC67}"/>
    <hyperlink ref="V97" r:id="rId95" display="https://oxxo-colombia.oneapp.cl/static/img/Respuesta/63394453/4ce43c6a140a896060f568d78a9c6b47.jpg" xr:uid="{DA0FFE79-8190-48A6-8D3A-D37A2E4CD697}"/>
    <hyperlink ref="V98" r:id="rId96" display="https://oxxo-colombia.oneapp.cl/static/img/Respuesta/63394569/5e176010cd3a3d3e5cef11dfd46a4adc.jpg" xr:uid="{240A7D0F-2561-4F04-92FA-F73440B5C7A1}"/>
    <hyperlink ref="V99" r:id="rId97" display="https://oxxo-colombia.oneapp.cl/static/img/Respuesta/63397732/f30122521ce1f02acb830415f1166331.jpg" xr:uid="{2A895B35-9DA8-4E59-9DF8-FF3FBCDB5295}"/>
    <hyperlink ref="V100" r:id="rId98" display="https://oxxo-colombia.oneapp.cl/static/img/Respuesta/63400250/fe4023da6d233af07cc9ae77e06bbf53.jpg" xr:uid="{33E5768A-595A-4FAC-AB72-BE592950464E}"/>
    <hyperlink ref="V101" r:id="rId99" display="https://oxxo-colombia.oneapp.cl/static/img/Respuesta/63401994/a2d2c202bcad290c05f7064100e1b996.jpg" xr:uid="{F4D9F691-40D1-4E06-BB2F-AA263E500BF9}"/>
    <hyperlink ref="P100" r:id="rId100" xr:uid="{4239F4D6-DB35-4CD4-B092-6710E6AAAF95}"/>
    <hyperlink ref="P101" r:id="rId101" xr:uid="{312BF6C5-CC46-4C09-BE16-666B309F56D2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7" t="s">
        <v>1</v>
      </c>
      <c r="B1" t="s">
        <v>690</v>
      </c>
    </row>
    <row r="3" spans="1:2">
      <c r="A3" s="17" t="s">
        <v>691</v>
      </c>
      <c r="B3" t="s">
        <v>692</v>
      </c>
    </row>
    <row r="4" spans="1:2">
      <c r="A4" s="18" t="s">
        <v>52</v>
      </c>
      <c r="B4">
        <v>24</v>
      </c>
    </row>
    <row r="5" spans="1:2">
      <c r="A5" s="18" t="s">
        <v>37</v>
      </c>
      <c r="B5">
        <v>1</v>
      </c>
    </row>
    <row r="6" spans="1:2">
      <c r="A6" s="18" t="s">
        <v>69</v>
      </c>
      <c r="B6">
        <v>6</v>
      </c>
    </row>
    <row r="7" spans="1:2">
      <c r="A7" s="18" t="s">
        <v>693</v>
      </c>
      <c r="B7">
        <v>31</v>
      </c>
    </row>
    <row r="22" spans="1:2">
      <c r="A22" t="s">
        <v>691</v>
      </c>
      <c r="B22" t="s">
        <v>692</v>
      </c>
    </row>
    <row r="23" spans="1:2">
      <c r="A23" t="s">
        <v>211</v>
      </c>
      <c r="B23">
        <v>1</v>
      </c>
    </row>
    <row r="24" spans="1:2">
      <c r="A24" t="s">
        <v>94</v>
      </c>
      <c r="B24">
        <v>1</v>
      </c>
    </row>
    <row r="25" spans="1:2">
      <c r="A25" t="s">
        <v>182</v>
      </c>
      <c r="B25">
        <v>1</v>
      </c>
    </row>
    <row r="26" spans="1:2">
      <c r="A26" t="s">
        <v>261</v>
      </c>
      <c r="B26">
        <v>1</v>
      </c>
    </row>
    <row r="27" spans="1:2">
      <c r="A27" t="s">
        <v>694</v>
      </c>
      <c r="B27">
        <v>1</v>
      </c>
    </row>
    <row r="28" spans="1:2">
      <c r="A28" t="s">
        <v>30</v>
      </c>
      <c r="B28">
        <v>1</v>
      </c>
    </row>
    <row r="29" spans="1:2">
      <c r="A29" t="s">
        <v>86</v>
      </c>
      <c r="B29">
        <v>2</v>
      </c>
    </row>
    <row r="30" spans="1:2">
      <c r="A30" t="s">
        <v>128</v>
      </c>
      <c r="B30">
        <v>2</v>
      </c>
    </row>
    <row r="31" spans="1:2">
      <c r="A31" t="s">
        <v>150</v>
      </c>
      <c r="B31">
        <v>2</v>
      </c>
    </row>
    <row r="32" spans="1:2">
      <c r="A32" t="s">
        <v>203</v>
      </c>
      <c r="B32">
        <v>2</v>
      </c>
    </row>
    <row r="33" spans="1:2">
      <c r="A33" t="s">
        <v>159</v>
      </c>
      <c r="B33">
        <v>2</v>
      </c>
    </row>
    <row r="34" spans="1:2">
      <c r="A34" t="s">
        <v>168</v>
      </c>
      <c r="B34">
        <v>3</v>
      </c>
    </row>
    <row r="35" spans="1:2">
      <c r="A35" t="s">
        <v>65</v>
      </c>
      <c r="B35">
        <v>3</v>
      </c>
    </row>
    <row r="36" spans="1:2">
      <c r="A36" t="s">
        <v>48</v>
      </c>
      <c r="B36">
        <v>4</v>
      </c>
    </row>
    <row r="37" spans="1:2">
      <c r="A37" t="s">
        <v>105</v>
      </c>
      <c r="B37">
        <v>5</v>
      </c>
    </row>
    <row r="43" spans="1:2">
      <c r="A43" t="s">
        <v>691</v>
      </c>
      <c r="B43" t="s">
        <v>695</v>
      </c>
    </row>
    <row r="44" spans="1:2">
      <c r="A44" t="s">
        <v>52</v>
      </c>
      <c r="B44">
        <v>24</v>
      </c>
    </row>
    <row r="45" spans="1:2">
      <c r="A45" t="s">
        <v>37</v>
      </c>
      <c r="B45">
        <v>1</v>
      </c>
    </row>
    <row r="46" spans="1:2">
      <c r="A46" t="s">
        <v>69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509</v>
      </c>
      <c r="B1" t="s">
        <v>696</v>
      </c>
    </row>
    <row r="2" spans="1:5">
      <c r="A2" t="s">
        <v>53</v>
      </c>
      <c r="B2" t="s">
        <v>697</v>
      </c>
      <c r="C2" t="s">
        <v>698</v>
      </c>
      <c r="D2" t="s">
        <v>699</v>
      </c>
      <c r="E2" t="s">
        <v>700</v>
      </c>
    </row>
    <row r="3" spans="1:5">
      <c r="A3" t="s">
        <v>701</v>
      </c>
      <c r="B3" t="s">
        <v>702</v>
      </c>
    </row>
    <row r="4" spans="1:5">
      <c r="A4" t="s">
        <v>98</v>
      </c>
      <c r="B4" t="s">
        <v>697</v>
      </c>
    </row>
    <row r="5" spans="1:5">
      <c r="A5" t="s">
        <v>703</v>
      </c>
      <c r="B5" t="s">
        <v>699</v>
      </c>
    </row>
    <row r="6" spans="1:5">
      <c r="A6" t="s">
        <v>704</v>
      </c>
      <c r="B6" t="s">
        <v>696</v>
      </c>
    </row>
    <row r="7" spans="1:5">
      <c r="A7" t="s">
        <v>705</v>
      </c>
      <c r="B7" t="s">
        <v>702</v>
      </c>
    </row>
    <row r="8" spans="1:5">
      <c r="A8" t="s">
        <v>579</v>
      </c>
      <c r="B8" t="s">
        <v>696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706</v>
      </c>
      <c r="C1" s="13" t="s">
        <v>271</v>
      </c>
    </row>
    <row r="2" spans="1:3">
      <c r="A2" t="s">
        <v>105</v>
      </c>
      <c r="B2">
        <v>5</v>
      </c>
      <c r="C2" s="14">
        <v>5</v>
      </c>
    </row>
    <row r="3" spans="1:3">
      <c r="A3" t="s">
        <v>48</v>
      </c>
      <c r="B3">
        <v>5</v>
      </c>
      <c r="C3" s="14">
        <v>4</v>
      </c>
    </row>
    <row r="4" spans="1:3">
      <c r="A4" t="s">
        <v>168</v>
      </c>
      <c r="B4">
        <v>5</v>
      </c>
      <c r="C4" s="14">
        <v>3</v>
      </c>
    </row>
    <row r="5" spans="1:3">
      <c r="A5" t="s">
        <v>65</v>
      </c>
      <c r="B5">
        <v>5</v>
      </c>
      <c r="C5" s="14">
        <v>3</v>
      </c>
    </row>
    <row r="6" spans="1:3">
      <c r="A6" t="s">
        <v>86</v>
      </c>
      <c r="B6">
        <v>5</v>
      </c>
      <c r="C6" s="14">
        <v>2</v>
      </c>
    </row>
    <row r="7" spans="1:3">
      <c r="A7" t="s">
        <v>128</v>
      </c>
      <c r="B7">
        <v>5</v>
      </c>
      <c r="C7" s="14">
        <v>2</v>
      </c>
    </row>
    <row r="8" spans="1:3">
      <c r="A8" t="s">
        <v>150</v>
      </c>
      <c r="B8">
        <v>5</v>
      </c>
      <c r="C8" s="14">
        <v>2</v>
      </c>
    </row>
    <row r="9" spans="1:3">
      <c r="A9" t="s">
        <v>203</v>
      </c>
      <c r="B9">
        <v>5</v>
      </c>
      <c r="C9" s="14">
        <v>2</v>
      </c>
    </row>
    <row r="10" spans="1:3">
      <c r="A10" t="s">
        <v>159</v>
      </c>
      <c r="B10">
        <v>5</v>
      </c>
      <c r="C10" s="14">
        <v>2</v>
      </c>
    </row>
    <row r="11" spans="1:3">
      <c r="A11" t="s">
        <v>211</v>
      </c>
      <c r="B11">
        <v>5</v>
      </c>
      <c r="C11" s="14">
        <v>1</v>
      </c>
    </row>
    <row r="12" spans="1:3">
      <c r="A12" t="s">
        <v>94</v>
      </c>
      <c r="B12">
        <v>5</v>
      </c>
      <c r="C12" s="14">
        <v>1</v>
      </c>
    </row>
    <row r="13" spans="1:3">
      <c r="A13" t="s">
        <v>182</v>
      </c>
      <c r="B13">
        <v>5</v>
      </c>
      <c r="C13" s="14">
        <v>1</v>
      </c>
    </row>
    <row r="14" spans="1:3">
      <c r="A14" t="s">
        <v>694</v>
      </c>
      <c r="B14">
        <v>5</v>
      </c>
      <c r="C14" s="14">
        <v>1</v>
      </c>
    </row>
    <row r="15" spans="1:3">
      <c r="A15" t="s">
        <v>30</v>
      </c>
      <c r="B15">
        <v>5</v>
      </c>
      <c r="C15" s="14">
        <v>1</v>
      </c>
    </row>
    <row r="16" spans="1:3">
      <c r="A16" t="s">
        <v>261</v>
      </c>
      <c r="B16">
        <v>5</v>
      </c>
      <c r="C16" s="14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4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707</v>
      </c>
      <c r="B1" t="s">
        <v>708</v>
      </c>
    </row>
    <row r="2" spans="1:2">
      <c r="A2" t="s">
        <v>709</v>
      </c>
      <c r="B2" t="s">
        <v>710</v>
      </c>
    </row>
    <row r="3" spans="1:2">
      <c r="A3" t="s">
        <v>711</v>
      </c>
      <c r="B3" t="s">
        <v>712</v>
      </c>
    </row>
    <row r="4" spans="1:2">
      <c r="A4" t="s">
        <v>713</v>
      </c>
      <c r="B4" t="s">
        <v>714</v>
      </c>
    </row>
    <row r="5" spans="1:2">
      <c r="A5" t="s">
        <v>715</v>
      </c>
      <c r="B5" t="s">
        <v>716</v>
      </c>
    </row>
    <row r="6" spans="1:2">
      <c r="A6" t="s">
        <v>717</v>
      </c>
      <c r="B6" t="s">
        <v>718</v>
      </c>
    </row>
    <row r="7" spans="1:2">
      <c r="A7" t="s">
        <v>719</v>
      </c>
      <c r="B7" t="s">
        <v>720</v>
      </c>
    </row>
    <row r="8" spans="1:2">
      <c r="A8" t="s">
        <v>721</v>
      </c>
      <c r="B8" t="s">
        <v>722</v>
      </c>
    </row>
    <row r="9" spans="1:2">
      <c r="A9" t="s">
        <v>723</v>
      </c>
      <c r="B9" t="s">
        <v>724</v>
      </c>
    </row>
    <row r="10" spans="1:2">
      <c r="A10" t="s">
        <v>725</v>
      </c>
      <c r="B10" t="s">
        <v>726</v>
      </c>
    </row>
    <row r="11" spans="1:2">
      <c r="A11" t="s">
        <v>727</v>
      </c>
      <c r="B11" t="s">
        <v>728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729</v>
      </c>
      <c r="C1" s="9"/>
      <c r="D1" s="8" t="s">
        <v>730</v>
      </c>
      <c r="E1" s="8" t="s">
        <v>731</v>
      </c>
      <c r="F1" s="8" t="s">
        <v>732</v>
      </c>
      <c r="G1" s="8" t="s">
        <v>733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35</v>
      </c>
      <c r="O1" s="8" t="s">
        <v>734</v>
      </c>
      <c r="P1" s="12" t="s">
        <v>735</v>
      </c>
      <c r="Q1" s="8" t="s">
        <v>736</v>
      </c>
      <c r="R1" s="1" t="s">
        <v>737</v>
      </c>
      <c r="S1" s="8" t="s">
        <v>738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729</v>
      </c>
      <c r="C2" s="9"/>
      <c r="D2" s="8" t="s">
        <v>730</v>
      </c>
      <c r="E2" s="8" t="s">
        <v>731</v>
      </c>
      <c r="F2" s="8" t="s">
        <v>732</v>
      </c>
      <c r="G2" s="8" t="s">
        <v>733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35</v>
      </c>
      <c r="O2" s="8" t="s">
        <v>734</v>
      </c>
      <c r="P2" s="12" t="s">
        <v>735</v>
      </c>
      <c r="Q2" s="8" t="s">
        <v>739</v>
      </c>
      <c r="R2" s="1" t="s">
        <v>737</v>
      </c>
      <c r="S2" s="8" t="s">
        <v>740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741</v>
      </c>
      <c r="C3" s="9"/>
      <c r="D3" s="8" t="s">
        <v>742</v>
      </c>
      <c r="E3" s="8" t="s">
        <v>731</v>
      </c>
      <c r="F3" s="8" t="s">
        <v>732</v>
      </c>
      <c r="G3" s="8" t="s">
        <v>743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35</v>
      </c>
      <c r="O3" s="8" t="s">
        <v>734</v>
      </c>
      <c r="P3" s="12" t="s">
        <v>735</v>
      </c>
      <c r="Q3" s="8" t="s">
        <v>744</v>
      </c>
      <c r="R3" s="1" t="s">
        <v>737</v>
      </c>
      <c r="S3" s="8" t="s">
        <v>745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728</v>
      </c>
      <c r="C4" s="9"/>
      <c r="D4" s="8" t="s">
        <v>746</v>
      </c>
      <c r="E4" s="8" t="s">
        <v>731</v>
      </c>
      <c r="F4" s="8" t="s">
        <v>732</v>
      </c>
      <c r="G4" s="8" t="s">
        <v>747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35</v>
      </c>
      <c r="O4" s="8" t="s">
        <v>734</v>
      </c>
      <c r="P4" s="12" t="s">
        <v>735</v>
      </c>
      <c r="Q4" s="8" t="s">
        <v>748</v>
      </c>
      <c r="R4" s="1" t="s">
        <v>737</v>
      </c>
      <c r="S4" s="8" t="s">
        <v>749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750</v>
      </c>
      <c r="C1" s="13" t="s">
        <v>751</v>
      </c>
      <c r="D1" s="13" t="s">
        <v>752</v>
      </c>
    </row>
    <row r="2" spans="1:4">
      <c r="A2" t="s">
        <v>753</v>
      </c>
      <c r="B2" s="13">
        <v>33</v>
      </c>
      <c r="C2" s="13">
        <v>26</v>
      </c>
      <c r="D2" s="13">
        <v>2</v>
      </c>
    </row>
    <row r="3" spans="1:4">
      <c r="A3" t="s">
        <v>708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28</v>
      </c>
      <c r="B1" s="7" t="s">
        <v>6</v>
      </c>
      <c r="C1" s="7" t="s">
        <v>754</v>
      </c>
      <c r="D1" s="7" t="s">
        <v>755</v>
      </c>
      <c r="E1" s="7" t="s">
        <v>756</v>
      </c>
      <c r="F1" s="7" t="s">
        <v>757</v>
      </c>
      <c r="G1" s="7" t="s">
        <v>758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759</v>
      </c>
      <c r="E2" s="5" t="s">
        <v>760</v>
      </c>
      <c r="F2" s="6" t="s">
        <v>761</v>
      </c>
      <c r="G2" s="6" t="s">
        <v>762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763</v>
      </c>
      <c r="E3" s="4" t="s">
        <v>764</v>
      </c>
      <c r="F3" s="3" t="s">
        <v>765</v>
      </c>
      <c r="G3" s="3" t="s">
        <v>766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767</v>
      </c>
      <c r="E4" s="5" t="s">
        <v>764</v>
      </c>
      <c r="F4" s="6" t="s">
        <v>768</v>
      </c>
      <c r="G4" s="6" t="s">
        <v>766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769</v>
      </c>
      <c r="E5" s="4" t="s">
        <v>770</v>
      </c>
      <c r="F5" s="3" t="s">
        <v>771</v>
      </c>
      <c r="G5" s="3" t="s">
        <v>772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773</v>
      </c>
      <c r="E6" s="5" t="s">
        <v>774</v>
      </c>
      <c r="F6" s="6" t="s">
        <v>775</v>
      </c>
      <c r="G6" s="6" t="s">
        <v>772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776</v>
      </c>
      <c r="E7" s="4" t="s">
        <v>770</v>
      </c>
      <c r="F7" s="3" t="s">
        <v>777</v>
      </c>
      <c r="G7" s="3" t="s">
        <v>762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778</v>
      </c>
      <c r="E8" s="5" t="s">
        <v>764</v>
      </c>
      <c r="F8" s="6" t="s">
        <v>779</v>
      </c>
      <c r="G8" s="6" t="s">
        <v>766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780</v>
      </c>
      <c r="E9" s="4" t="s">
        <v>764</v>
      </c>
      <c r="F9" s="3" t="s">
        <v>781</v>
      </c>
      <c r="G9" s="3" t="s">
        <v>766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782</v>
      </c>
      <c r="E10" s="5" t="s">
        <v>764</v>
      </c>
      <c r="F10" s="6" t="s">
        <v>783</v>
      </c>
      <c r="G10" s="6" t="s">
        <v>766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784</v>
      </c>
      <c r="E11" s="4" t="s">
        <v>785</v>
      </c>
      <c r="F11" s="3" t="s">
        <v>786</v>
      </c>
      <c r="G11" s="3" t="s">
        <v>762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787</v>
      </c>
      <c r="E12" s="5" t="s">
        <v>770</v>
      </c>
      <c r="F12" s="6" t="s">
        <v>788</v>
      </c>
      <c r="G12" s="6" t="s">
        <v>762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789</v>
      </c>
      <c r="E13" s="4" t="s">
        <v>764</v>
      </c>
      <c r="F13" s="3" t="s">
        <v>790</v>
      </c>
      <c r="G13" s="3" t="s">
        <v>766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791</v>
      </c>
      <c r="E14" s="5" t="s">
        <v>764</v>
      </c>
      <c r="F14" s="6" t="s">
        <v>792</v>
      </c>
      <c r="G14" s="6" t="s">
        <v>766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793</v>
      </c>
      <c r="E15" s="4" t="s">
        <v>764</v>
      </c>
      <c r="F15" s="3" t="s">
        <v>794</v>
      </c>
      <c r="G15" s="3" t="s">
        <v>766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795</v>
      </c>
      <c r="E16" s="5" t="s">
        <v>764</v>
      </c>
      <c r="F16" s="6" t="s">
        <v>796</v>
      </c>
      <c r="G16" s="6" t="s">
        <v>766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797</v>
      </c>
      <c r="E17" s="4" t="s">
        <v>764</v>
      </c>
      <c r="F17" s="3" t="s">
        <v>798</v>
      </c>
      <c r="G17" s="3" t="s">
        <v>762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799</v>
      </c>
      <c r="E18" s="5" t="s">
        <v>770</v>
      </c>
      <c r="F18" s="6" t="s">
        <v>800</v>
      </c>
      <c r="G18" s="6" t="s">
        <v>762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801</v>
      </c>
      <c r="E19" s="4" t="s">
        <v>770</v>
      </c>
      <c r="F19" s="3" t="s">
        <v>761</v>
      </c>
      <c r="G19" s="3" t="s">
        <v>762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802</v>
      </c>
      <c r="E20" s="5" t="s">
        <v>764</v>
      </c>
      <c r="F20" s="6" t="s">
        <v>765</v>
      </c>
      <c r="G20" s="6" t="s">
        <v>766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803</v>
      </c>
      <c r="E21" s="4" t="s">
        <v>764</v>
      </c>
      <c r="F21" s="3" t="s">
        <v>768</v>
      </c>
      <c r="G21" s="3" t="s">
        <v>766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804</v>
      </c>
      <c r="E22" s="5" t="s">
        <v>770</v>
      </c>
      <c r="F22" s="6" t="s">
        <v>771</v>
      </c>
      <c r="G22" s="6" t="s">
        <v>772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805</v>
      </c>
      <c r="E23" s="4" t="s">
        <v>774</v>
      </c>
      <c r="F23" s="3" t="s">
        <v>775</v>
      </c>
      <c r="G23" s="3" t="s">
        <v>772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806</v>
      </c>
      <c r="E24" s="5" t="s">
        <v>774</v>
      </c>
      <c r="F24" s="6" t="s">
        <v>777</v>
      </c>
      <c r="G24" s="6" t="s">
        <v>762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807</v>
      </c>
      <c r="E25" s="4" t="s">
        <v>764</v>
      </c>
      <c r="F25" s="3" t="s">
        <v>808</v>
      </c>
      <c r="G25" s="3" t="s">
        <v>766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809</v>
      </c>
      <c r="E26" s="5" t="s">
        <v>764</v>
      </c>
      <c r="F26" s="6" t="s">
        <v>781</v>
      </c>
      <c r="G26" s="6" t="s">
        <v>766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810</v>
      </c>
      <c r="E27" s="4" t="s">
        <v>764</v>
      </c>
      <c r="F27" s="3" t="s">
        <v>811</v>
      </c>
      <c r="G27" s="3" t="s">
        <v>766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812</v>
      </c>
      <c r="E28" s="5" t="s">
        <v>764</v>
      </c>
      <c r="F28" s="6" t="s">
        <v>813</v>
      </c>
      <c r="G28" s="6" t="s">
        <v>766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814</v>
      </c>
      <c r="E29" s="4" t="s">
        <v>770</v>
      </c>
      <c r="F29" s="3" t="s">
        <v>815</v>
      </c>
      <c r="G29" s="3" t="s">
        <v>816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817</v>
      </c>
      <c r="E30" s="5" t="s">
        <v>764</v>
      </c>
      <c r="F30" s="6" t="s">
        <v>786</v>
      </c>
      <c r="G30" s="6" t="s">
        <v>762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818</v>
      </c>
      <c r="E31" s="4" t="s">
        <v>774</v>
      </c>
      <c r="F31" s="3" t="s">
        <v>788</v>
      </c>
      <c r="G31" s="3" t="s">
        <v>762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819</v>
      </c>
      <c r="E32" s="5" t="s">
        <v>764</v>
      </c>
      <c r="F32" s="6" t="s">
        <v>790</v>
      </c>
      <c r="G32" s="6" t="s">
        <v>766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820</v>
      </c>
      <c r="E33" s="4" t="s">
        <v>764</v>
      </c>
      <c r="F33" s="3" t="s">
        <v>792</v>
      </c>
      <c r="G33" s="3" t="s">
        <v>766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821</v>
      </c>
      <c r="E34" s="5" t="s">
        <v>764</v>
      </c>
      <c r="F34" s="6" t="s">
        <v>794</v>
      </c>
      <c r="G34" s="6" t="s">
        <v>766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822</v>
      </c>
      <c r="E35" s="4" t="s">
        <v>764</v>
      </c>
      <c r="F35" s="3" t="s">
        <v>796</v>
      </c>
      <c r="G35" s="3" t="s">
        <v>766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823</v>
      </c>
      <c r="E36" s="5" t="s">
        <v>824</v>
      </c>
      <c r="F36" s="6" t="s">
        <v>798</v>
      </c>
      <c r="G36" s="6" t="s">
        <v>762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825</v>
      </c>
      <c r="E37" s="4" t="s">
        <v>774</v>
      </c>
      <c r="F37" s="3" t="s">
        <v>800</v>
      </c>
      <c r="G37" s="3" t="s">
        <v>762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2026-07-28T19:30:43Z</dcterms:modified>
  <cp:category/>
  <cp:contentStatus/>
</cp:coreProperties>
</file>